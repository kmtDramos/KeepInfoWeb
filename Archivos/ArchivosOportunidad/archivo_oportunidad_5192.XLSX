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lecom11\Desktop\Cotizaciones\ICL\"/>
    </mc:Choice>
  </mc:AlternateContent>
  <bookViews>
    <workbookView xWindow="0" yWindow="0" windowWidth="20490" windowHeight="7755"/>
  </bookViews>
  <sheets>
    <sheet name="Resumen" sheetId="5" r:id="rId1"/>
    <sheet name="Acceso" sheetId="2" r:id="rId2"/>
    <sheet name="AP" sheetId="3" r:id="rId3"/>
    <sheet name="CCTV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5" l="1"/>
  <c r="H29" i="5"/>
  <c r="J28" i="5"/>
  <c r="H28" i="5"/>
  <c r="D28" i="5"/>
  <c r="D26" i="5"/>
  <c r="H26" i="5"/>
  <c r="J24" i="5"/>
  <c r="H24" i="5"/>
  <c r="D24" i="5"/>
  <c r="H31" i="5" l="1"/>
  <c r="G31" i="4" l="1"/>
  <c r="I30" i="4"/>
  <c r="G30" i="4"/>
  <c r="J29" i="4"/>
  <c r="K29" i="4" s="1"/>
  <c r="H29" i="4"/>
  <c r="J28" i="4"/>
  <c r="H28" i="4"/>
  <c r="H23" i="4"/>
  <c r="H24" i="4"/>
  <c r="H25" i="4"/>
  <c r="H26" i="4"/>
  <c r="H27" i="4"/>
  <c r="K28" i="4" l="1"/>
  <c r="J23" i="4" l="1"/>
  <c r="J24" i="4"/>
  <c r="K24" i="4" s="1"/>
  <c r="J25" i="4"/>
  <c r="J26" i="4"/>
  <c r="K26" i="4" s="1"/>
  <c r="J27" i="4"/>
  <c r="K27" i="4" s="1"/>
  <c r="K23" i="4"/>
  <c r="K25" i="4"/>
  <c r="J31" i="2"/>
  <c r="H31" i="2"/>
  <c r="K31" i="2" l="1"/>
  <c r="J30" i="2" l="1"/>
  <c r="K30" i="2" s="1"/>
  <c r="H30" i="2"/>
  <c r="J22" i="4" l="1"/>
  <c r="H22" i="4"/>
  <c r="K22" i="4" l="1"/>
  <c r="K23" i="3"/>
  <c r="K24" i="3"/>
  <c r="K26" i="3"/>
  <c r="K27" i="3"/>
  <c r="K28" i="3"/>
  <c r="K29" i="3"/>
  <c r="K30" i="3"/>
  <c r="K22" i="3"/>
  <c r="J23" i="3"/>
  <c r="J24" i="3"/>
  <c r="J25" i="3"/>
  <c r="J26" i="3"/>
  <c r="J27" i="3"/>
  <c r="J28" i="3"/>
  <c r="J29" i="3"/>
  <c r="J22" i="3"/>
  <c r="H23" i="3"/>
  <c r="H24" i="3"/>
  <c r="H25" i="3"/>
  <c r="K25" i="3" s="1"/>
  <c r="H26" i="3"/>
  <c r="H27" i="3"/>
  <c r="H28" i="3"/>
  <c r="H29" i="3"/>
  <c r="H30" i="3"/>
  <c r="H22" i="3"/>
  <c r="I31" i="3"/>
  <c r="J26" i="5" s="1"/>
  <c r="G31" i="3" l="1"/>
  <c r="I45" i="2" l="1"/>
  <c r="H36" i="2" l="1"/>
  <c r="J36" i="2"/>
  <c r="H38" i="2"/>
  <c r="J38" i="2"/>
  <c r="H39" i="2"/>
  <c r="J39" i="2"/>
  <c r="K39" i="2" s="1"/>
  <c r="J41" i="2"/>
  <c r="H41" i="2"/>
  <c r="J32" i="2"/>
  <c r="J33" i="2"/>
  <c r="J35" i="2"/>
  <c r="J37" i="2"/>
  <c r="J40" i="2"/>
  <c r="J42" i="2"/>
  <c r="J43" i="2"/>
  <c r="H32" i="2"/>
  <c r="H33" i="2"/>
  <c r="H35" i="2"/>
  <c r="H37" i="2"/>
  <c r="H40" i="2"/>
  <c r="H42" i="2"/>
  <c r="G32" i="3" l="1"/>
  <c r="K36" i="2"/>
  <c r="K38" i="2"/>
  <c r="K32" i="2"/>
  <c r="K40" i="2"/>
  <c r="K37" i="2"/>
  <c r="K42" i="2"/>
  <c r="K35" i="2"/>
  <c r="K41" i="2"/>
  <c r="K33" i="2"/>
  <c r="J23" i="2" l="1"/>
  <c r="J24" i="2"/>
  <c r="J25" i="2"/>
  <c r="J26" i="2"/>
  <c r="J27" i="2"/>
  <c r="J28" i="2"/>
  <c r="J29" i="2"/>
  <c r="H23" i="2"/>
  <c r="H24" i="2"/>
  <c r="H25" i="2"/>
  <c r="H26" i="2"/>
  <c r="H27" i="2"/>
  <c r="H28" i="2"/>
  <c r="H29" i="2"/>
  <c r="H43" i="2"/>
  <c r="K43" i="2" s="1"/>
  <c r="K29" i="2" l="1"/>
  <c r="K28" i="2"/>
  <c r="K27" i="2"/>
  <c r="K26" i="2"/>
  <c r="K25" i="2"/>
  <c r="K24" i="2"/>
  <c r="K23" i="2"/>
  <c r="J44" i="2"/>
  <c r="H44" i="2"/>
  <c r="K44" i="2" l="1"/>
  <c r="J22" i="2"/>
  <c r="H22" i="2"/>
  <c r="G45" i="2" s="1"/>
  <c r="K22" i="2" l="1"/>
  <c r="G46" i="2" s="1"/>
</calcChain>
</file>

<file path=xl/sharedStrings.xml><?xml version="1.0" encoding="utf-8"?>
<sst xmlns="http://schemas.openxmlformats.org/spreadsheetml/2006/main" count="311" uniqueCount="113">
  <si>
    <t>GRUPO ASERCOM, S.A. DE C.V.</t>
  </si>
  <si>
    <t>División Telecomunicaciones</t>
  </si>
  <si>
    <t>Cotizado a:</t>
  </si>
  <si>
    <t>Fecha:</t>
  </si>
  <si>
    <t>Atención:</t>
  </si>
  <si>
    <t>Material y Equipo:</t>
  </si>
  <si>
    <t>Ejecución:</t>
  </si>
  <si>
    <t>Validez de la oferta:</t>
  </si>
  <si>
    <t>15 días</t>
  </si>
  <si>
    <t>Numero de Cotización:</t>
  </si>
  <si>
    <t>Condiciones de pago:</t>
  </si>
  <si>
    <t xml:space="preserve">En respuesta a su amable solicitud ponemos a su consideración la siguiente cotización para el Proyecto de:                                                                                       </t>
  </si>
  <si>
    <t>Cant</t>
  </si>
  <si>
    <t>Descripción</t>
  </si>
  <si>
    <t>No. Parte</t>
  </si>
  <si>
    <t>Material</t>
  </si>
  <si>
    <t>Mano de Obra</t>
  </si>
  <si>
    <t>Total</t>
  </si>
  <si>
    <t>Precio Unitario</t>
  </si>
  <si>
    <t>Importe</t>
  </si>
  <si>
    <t>Sub Total Material / Mano de Obra</t>
  </si>
  <si>
    <t>Sub Total sin IVA</t>
  </si>
  <si>
    <t>NOTAS:</t>
  </si>
  <si>
    <t>USD</t>
  </si>
  <si>
    <r>
      <t xml:space="preserve">LOS PRECIOS ESTAN COTIZADOS EN USD PAGADEROS CON LA MISMA MONEDA Y </t>
    </r>
    <r>
      <rPr>
        <b/>
        <u/>
        <sz val="9"/>
        <color indexed="8"/>
        <rFont val="Calibri"/>
        <family val="2"/>
      </rPr>
      <t xml:space="preserve">NO </t>
    </r>
    <r>
      <rPr>
        <sz val="9"/>
        <color indexed="8"/>
        <rFont val="Calibri"/>
        <family val="2"/>
      </rPr>
      <t>INCLUYEN IVA</t>
    </r>
  </si>
  <si>
    <t>MN</t>
  </si>
  <si>
    <r>
      <t xml:space="preserve">LOS PRECIOS ESTAN COTIZADOS EN MONEDA NACIONA Y </t>
    </r>
    <r>
      <rPr>
        <b/>
        <u/>
        <sz val="9"/>
        <color indexed="8"/>
        <rFont val="Calibri"/>
        <family val="2"/>
      </rPr>
      <t>NO</t>
    </r>
    <r>
      <rPr>
        <sz val="9"/>
        <color indexed="8"/>
        <rFont val="Calibri"/>
        <family val="2"/>
      </rPr>
      <t xml:space="preserve"> INCLUYEN IVA</t>
    </r>
  </si>
  <si>
    <t>AGENTE GRUPO ASERCOM</t>
  </si>
  <si>
    <t>AUTORIZACION CLIENTE</t>
  </si>
  <si>
    <t xml:space="preserve">NOMBRE </t>
  </si>
  <si>
    <t>FIRMA</t>
  </si>
  <si>
    <t>Grupo Asercom, S.A. de C.V.</t>
  </si>
  <si>
    <t>www.grupoasercom.com</t>
  </si>
  <si>
    <t>Corporativo Monterrey</t>
  </si>
  <si>
    <t>Sucursal Guadalajara</t>
  </si>
  <si>
    <t>Sucursal México, D.F.</t>
  </si>
  <si>
    <t xml:space="preserve">Joaquín García No. 217 Col. Burócratas </t>
  </si>
  <si>
    <t>Av. Circunvalación Agustín Yáñez No. 2360 Int 4-A</t>
  </si>
  <si>
    <t>Río Lerma No. 26 Col. Cuauhtémoc</t>
  </si>
  <si>
    <t>Del Estado Monterrey, N.L.  C.P. 64380</t>
  </si>
  <si>
    <t>Col. Arcos Sur Guadalajara, Jal. C.P. 44150</t>
  </si>
  <si>
    <t>Del. Cuauhtémoc México, D.F. C.P. 06500</t>
  </si>
  <si>
    <t>Conmutador (81) 1442-4000</t>
  </si>
  <si>
    <t>Tels (33) 3630-5030 y 3630-5033</t>
  </si>
  <si>
    <t>Tels (55) 5703-0028 y 5703-0141</t>
  </si>
  <si>
    <t>Tiempo de Entrega</t>
  </si>
  <si>
    <t>X</t>
  </si>
  <si>
    <t>Equipo Activo</t>
  </si>
  <si>
    <t>4 a 6 Sem</t>
  </si>
  <si>
    <t>ICL FOSFATOS Y ADITIVOS MEXICO, S.A. DE C.V.</t>
  </si>
  <si>
    <t>Ing. Ernesto Ramos</t>
  </si>
  <si>
    <t>IP Sarix E SFMT POE Mdome 1MP 30IPS Surevision WC</t>
  </si>
  <si>
    <t>IME119-1S</t>
  </si>
  <si>
    <t>Lote de Miscelaneos</t>
  </si>
  <si>
    <t>Serv-Inst</t>
  </si>
  <si>
    <t>Control de acceso para 2 Puertas 4 Lectoras</t>
  </si>
  <si>
    <t>C3200</t>
  </si>
  <si>
    <t>Lector de Proximidad</t>
  </si>
  <si>
    <t>K-PROX2</t>
  </si>
  <si>
    <t>Botón de Salida Sin Contacto</t>
  </si>
  <si>
    <t>SYSB11</t>
  </si>
  <si>
    <t>Cable 6 Conductores Calibre 22, Para Aplicaciones Básicas</t>
  </si>
  <si>
    <t>EP2206V2</t>
  </si>
  <si>
    <t>4 dias</t>
  </si>
  <si>
    <t>10 de Septiembre del 2015</t>
  </si>
  <si>
    <t>Chapa magnética de 600 lbs con sensor de bloqueo de placa y puerta, LED y temporizador</t>
  </si>
  <si>
    <t>Cable 2 Conductores Calibre 22, Para Aplicaciones Básicas</t>
  </si>
  <si>
    <t>PROMAG600S</t>
  </si>
  <si>
    <t>Bracket de Alumnio en “Z”</t>
  </si>
  <si>
    <t>PROBZ600</t>
  </si>
  <si>
    <t>Estación manual de emergencia en Policarbonato de Alta Resistencia</t>
  </si>
  <si>
    <t>904PB</t>
  </si>
  <si>
    <t>N/A</t>
  </si>
  <si>
    <t>Condulet LB de 3/4"</t>
  </si>
  <si>
    <t>Soporteria para tuberia 3/4"</t>
  </si>
  <si>
    <t>Canalizacion</t>
  </si>
  <si>
    <t>Tubo Conduit Pared Gruesa 3/4"</t>
  </si>
  <si>
    <t>Cople Conduit pared Gruesa 3/4"</t>
  </si>
  <si>
    <t>Caja FS de 2"x4", con salida de 3/4"</t>
  </si>
  <si>
    <t>Caja FS de 2"x4", con salida de 3/4" de paso</t>
  </si>
  <si>
    <t>Condulet T de 3/4"</t>
  </si>
  <si>
    <t>Fuente de 12 Vcd/1A para Control de Acceso con Batería Incluida</t>
  </si>
  <si>
    <t>PRO12V1AK</t>
  </si>
  <si>
    <t>Batería con Tecnología AGM / VRLA, 4.5 Ah.</t>
  </si>
  <si>
    <t>PL4.512</t>
  </si>
  <si>
    <t>Condulet LR de 3/4"</t>
  </si>
  <si>
    <t>Soporte para Tubo Conduit a base de Abrazadera Tipo Clip, Varilla Roscada, Mordaza, Tuerca, Tornillo</t>
  </si>
  <si>
    <t>Unicanal Perforada 2x4"</t>
  </si>
  <si>
    <t>Metro de Cable UTP Cat 6, color Azul</t>
  </si>
  <si>
    <t>PUC6004BU</t>
  </si>
  <si>
    <t>Servicio de Configuracion de equipo, ajuste y Calibracion de puertas</t>
  </si>
  <si>
    <t>Servicio de instalacion de acceso point y requerimientos de canalizacion</t>
  </si>
  <si>
    <t>Camara Comedor</t>
  </si>
  <si>
    <t>2 dias</t>
  </si>
  <si>
    <t>Licencia Para Camara IP De Pelco Para DS</t>
  </si>
  <si>
    <t>DS-SW-CAM</t>
  </si>
  <si>
    <t>Conector RJ45 para Cable FTP/STP Categoría 5E - Blindado</t>
  </si>
  <si>
    <t>TC5S</t>
  </si>
  <si>
    <t>Tramo de Canaleta LD5, Color blanco</t>
  </si>
  <si>
    <t>LD5WH6-A</t>
  </si>
  <si>
    <t>Accesorio para Canaleta LD5, Color blanco</t>
  </si>
  <si>
    <t>Servicio de Configuracion de equipo,Enfoque y puesta a punto</t>
  </si>
  <si>
    <t xml:space="preserve">Material </t>
  </si>
  <si>
    <t xml:space="preserve">Sub-Totales sin IVA </t>
  </si>
  <si>
    <t xml:space="preserve">Sub-Total sin IVA </t>
  </si>
  <si>
    <t>CONMUTADOR TELEFONICO 1232</t>
  </si>
  <si>
    <t>CAPACIDAD ACTUAL:  4 LINEAS 4 EXTENSIONES</t>
  </si>
  <si>
    <t>CAPACIDAD PROPUESTA: 8 LINEAS 16 EXTENSIONES, 2 EXTENSIONES PARA CORREO DE VOZ, 4 EXTENSIONES ACTUALES Y 10 EXTENSIONES A FUTURO</t>
  </si>
  <si>
    <t>DENNISE MARES LEAL</t>
  </si>
  <si>
    <t>Control de Acceso  Area Almacen</t>
  </si>
  <si>
    <t>Canalizacion para Acces Point  en Area de Terminados</t>
  </si>
  <si>
    <t>10 dias</t>
  </si>
  <si>
    <t xml:space="preserve">Seguridad en la Planta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</si>
</sst>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\ &quot;USD&quot;_);_(&quot;$&quot;* \(#,##0.00\);_(&quot;$&quot;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9"/>
      <color indexed="8"/>
      <name val="Calibri"/>
      <family val="2"/>
    </font>
    <font>
      <sz val="9"/>
      <color indexed="8"/>
      <name val="Calibri"/>
      <family val="2"/>
    </font>
    <font>
      <b/>
      <u/>
      <sz val="10"/>
      <color theme="5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/>
      <right/>
      <top/>
      <bottom style="thin">
        <color theme="5"/>
      </bottom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double">
        <color theme="5"/>
      </bottom>
      <diagonal/>
    </border>
    <border>
      <left/>
      <right/>
      <top style="double">
        <color theme="5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Border="1" applyAlignment="1"/>
    <xf numFmtId="0" fontId="0" fillId="0" borderId="0" xfId="0" applyBorder="1"/>
    <xf numFmtId="0" fontId="8" fillId="0" borderId="12" xfId="0" applyFont="1" applyFill="1" applyBorder="1" applyAlignment="1">
      <alignment horizontal="center" vertical="center"/>
    </xf>
    <xf numFmtId="43" fontId="10" fillId="0" borderId="12" xfId="1" applyFont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wrapText="1"/>
    </xf>
    <xf numFmtId="0" fontId="0" fillId="0" borderId="0" xfId="0" applyFont="1"/>
    <xf numFmtId="0" fontId="0" fillId="0" borderId="0" xfId="0" applyFont="1" applyBorder="1"/>
    <xf numFmtId="44" fontId="0" fillId="0" borderId="0" xfId="0" applyNumberFormat="1" applyBorder="1"/>
    <xf numFmtId="43" fontId="0" fillId="0" borderId="0" xfId="0" applyNumberFormat="1"/>
    <xf numFmtId="0" fontId="1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4" fillId="0" borderId="20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/>
    </xf>
    <xf numFmtId="0" fontId="0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1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11" fillId="0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Border="1"/>
    <xf numFmtId="0" fontId="4" fillId="0" borderId="4" xfId="0" applyFont="1" applyFill="1" applyBorder="1" applyAlignment="1"/>
    <xf numFmtId="0" fontId="4" fillId="0" borderId="0" xfId="0" applyFont="1" applyBorder="1"/>
    <xf numFmtId="0" fontId="4" fillId="0" borderId="5" xfId="0" applyFont="1" applyFill="1" applyBorder="1" applyAlignment="1"/>
    <xf numFmtId="0" fontId="6" fillId="0" borderId="12" xfId="0" applyFont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/>
    </xf>
    <xf numFmtId="43" fontId="10" fillId="0" borderId="29" xfId="1" applyFont="1" applyBorder="1" applyAlignment="1">
      <alignment vertical="center"/>
    </xf>
    <xf numFmtId="0" fontId="8" fillId="0" borderId="30" xfId="0" applyFont="1" applyFill="1" applyBorder="1" applyAlignment="1">
      <alignment horizontal="center" vertical="center" wrapText="1"/>
    </xf>
    <xf numFmtId="0" fontId="8" fillId="0" borderId="31" xfId="5" applyFont="1" applyBorder="1" applyAlignment="1">
      <alignment horizontal="center" vertical="center"/>
    </xf>
    <xf numFmtId="43" fontId="10" fillId="0" borderId="31" xfId="1" applyFont="1" applyBorder="1" applyAlignment="1">
      <alignment vertical="center"/>
    </xf>
    <xf numFmtId="43" fontId="10" fillId="0" borderId="32" xfId="1" applyFont="1" applyBorder="1" applyAlignment="1">
      <alignment vertical="center"/>
    </xf>
    <xf numFmtId="0" fontId="6" fillId="2" borderId="28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 wrapText="1"/>
    </xf>
    <xf numFmtId="0" fontId="8" fillId="0" borderId="12" xfId="5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5" fillId="2" borderId="12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wrapText="1"/>
    </xf>
    <xf numFmtId="0" fontId="8" fillId="0" borderId="31" xfId="4" applyFont="1" applyFill="1" applyBorder="1" applyAlignment="1">
      <alignment horizontal="left" vertical="center" wrapText="1"/>
    </xf>
    <xf numFmtId="0" fontId="8" fillId="0" borderId="12" xfId="4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16" fillId="0" borderId="0" xfId="0" applyFont="1" applyBorder="1" applyAlignment="1">
      <alignment horizontal="right" wrapText="1"/>
    </xf>
    <xf numFmtId="164" fontId="17" fillId="0" borderId="13" xfId="2" applyNumberFormat="1" applyFont="1" applyBorder="1" applyAlignment="1">
      <alignment horizontal="center" vertical="center"/>
    </xf>
    <xf numFmtId="164" fontId="17" fillId="0" borderId="14" xfId="2" applyNumberFormat="1" applyFont="1" applyBorder="1" applyAlignment="1">
      <alignment horizontal="center" vertical="center"/>
    </xf>
    <xf numFmtId="164" fontId="17" fillId="0" borderId="15" xfId="2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4" fillId="0" borderId="17" xfId="3" applyFont="1" applyBorder="1" applyAlignment="1" applyProtection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28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/>
    </xf>
    <xf numFmtId="0" fontId="16" fillId="0" borderId="5" xfId="0" applyFont="1" applyBorder="1" applyAlignment="1">
      <alignment horizontal="right" wrapText="1"/>
    </xf>
    <xf numFmtId="43" fontId="10" fillId="0" borderId="12" xfId="1" applyFont="1" applyFill="1" applyBorder="1" applyAlignment="1">
      <alignment vertical="center"/>
    </xf>
    <xf numFmtId="164" fontId="17" fillId="0" borderId="6" xfId="2" applyNumberFormat="1" applyFont="1" applyBorder="1" applyAlignment="1">
      <alignment horizontal="center" vertical="center"/>
    </xf>
    <xf numFmtId="164" fontId="17" fillId="0" borderId="7" xfId="2" applyNumberFormat="1" applyFont="1" applyBorder="1" applyAlignment="1">
      <alignment horizontal="center" vertical="center"/>
    </xf>
    <xf numFmtId="43" fontId="10" fillId="2" borderId="35" xfId="1" applyFont="1" applyFill="1" applyBorder="1" applyAlignment="1">
      <alignment vertical="center"/>
    </xf>
    <xf numFmtId="43" fontId="5" fillId="2" borderId="12" xfId="1" applyFont="1" applyFill="1" applyBorder="1" applyAlignment="1">
      <alignment horizontal="left" vertical="center"/>
    </xf>
    <xf numFmtId="43" fontId="5" fillId="2" borderId="29" xfId="1" applyFont="1" applyFill="1" applyBorder="1" applyAlignment="1">
      <alignment horizontal="left" vertical="center"/>
    </xf>
    <xf numFmtId="0" fontId="8" fillId="0" borderId="28" xfId="5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2" xfId="5" applyFont="1" applyBorder="1" applyAlignment="1">
      <alignment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vertical="center" wrapText="1"/>
    </xf>
    <xf numFmtId="0" fontId="18" fillId="4" borderId="12" xfId="0" applyFont="1" applyFill="1" applyBorder="1" applyAlignment="1">
      <alignment horizontal="center" vertical="center" wrapText="1"/>
    </xf>
    <xf numFmtId="43" fontId="8" fillId="4" borderId="12" xfId="1" applyFont="1" applyFill="1" applyBorder="1" applyAlignment="1">
      <alignment horizontal="left" vertical="center" wrapText="1"/>
    </xf>
    <xf numFmtId="43" fontId="10" fillId="4" borderId="12" xfId="1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8" fillId="4" borderId="12" xfId="0" applyFont="1" applyFill="1" applyBorder="1" applyAlignment="1">
      <alignment horizontal="center" vertical="center"/>
    </xf>
    <xf numFmtId="43" fontId="10" fillId="0" borderId="12" xfId="1" applyFont="1" applyFill="1" applyBorder="1" applyAlignment="1">
      <alignment horizontal="right" vertical="center"/>
    </xf>
    <xf numFmtId="0" fontId="4" fillId="0" borderId="33" xfId="0" applyFont="1" applyBorder="1" applyAlignment="1">
      <alignment horizontal="left" wrapText="1"/>
    </xf>
    <xf numFmtId="0" fontId="4" fillId="0" borderId="34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  <xf numFmtId="0" fontId="2" fillId="0" borderId="37" xfId="0" applyFont="1" applyFill="1" applyBorder="1" applyAlignment="1">
      <alignment horizontal="left"/>
    </xf>
    <xf numFmtId="0" fontId="2" fillId="0" borderId="38" xfId="0" applyFont="1" applyFill="1" applyBorder="1" applyAlignment="1">
      <alignment horizontal="left"/>
    </xf>
    <xf numFmtId="0" fontId="2" fillId="0" borderId="39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44" fontId="19" fillId="0" borderId="0" xfId="2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19" fillId="0" borderId="40" xfId="0" applyFont="1" applyBorder="1" applyAlignment="1">
      <alignment horizontal="left"/>
    </xf>
    <xf numFmtId="44" fontId="19" fillId="0" borderId="40" xfId="2" applyFont="1" applyBorder="1" applyAlignment="1">
      <alignment horizontal="center"/>
    </xf>
    <xf numFmtId="0" fontId="19" fillId="0" borderId="40" xfId="0" applyFont="1" applyBorder="1" applyAlignment="1">
      <alignment horizontal="left"/>
    </xf>
    <xf numFmtId="0" fontId="19" fillId="0" borderId="41" xfId="0" applyFont="1" applyBorder="1" applyAlignment="1">
      <alignment horizontal="right"/>
    </xf>
    <xf numFmtId="44" fontId="19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right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right"/>
    </xf>
    <xf numFmtId="164" fontId="22" fillId="0" borderId="13" xfId="2" applyNumberFormat="1" applyFont="1" applyBorder="1" applyAlignment="1">
      <alignment horizontal="center" vertical="center"/>
    </xf>
    <xf numFmtId="164" fontId="22" fillId="0" borderId="14" xfId="2" applyNumberFormat="1" applyFont="1" applyBorder="1" applyAlignment="1">
      <alignment horizontal="center" vertical="center"/>
    </xf>
    <xf numFmtId="164" fontId="22" fillId="0" borderId="15" xfId="2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3" applyFill="1" applyBorder="1" applyAlignment="1" applyProtection="1">
      <alignment horizontal="center"/>
    </xf>
    <xf numFmtId="0" fontId="19" fillId="0" borderId="0" xfId="0" applyFont="1" applyBorder="1" applyAlignment="1">
      <alignment horizontal="left"/>
    </xf>
  </cellXfs>
  <cellStyles count="8">
    <cellStyle name="Hipervínculo" xfId="3" builtinId="8"/>
    <cellStyle name="Millares" xfId="1" builtinId="3"/>
    <cellStyle name="Millares 2" xfId="6"/>
    <cellStyle name="Moneda" xfId="2" builtinId="4"/>
    <cellStyle name="Moneda 2" xfId="7"/>
    <cellStyle name="Normal" xfId="0" builtinId="0"/>
    <cellStyle name="Normal 2" xfId="5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76200</xdr:rowOff>
    </xdr:from>
    <xdr:to>
      <xdr:col>3</xdr:col>
      <xdr:colOff>47625</xdr:colOff>
      <xdr:row>6</xdr:row>
      <xdr:rowOff>19050</xdr:rowOff>
    </xdr:to>
    <xdr:pic>
      <xdr:nvPicPr>
        <xdr:cNvPr id="2" name="Picture 8" descr="logo asercom con estrellit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76200"/>
          <a:ext cx="147637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638176</xdr:colOff>
      <xdr:row>42</xdr:row>
      <xdr:rowOff>752</xdr:rowOff>
    </xdr:from>
    <xdr:to>
      <xdr:col>4</xdr:col>
      <xdr:colOff>419100</xdr:colOff>
      <xdr:row>44</xdr:row>
      <xdr:rowOff>82392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8468477"/>
          <a:ext cx="2066924" cy="472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76200</xdr:rowOff>
    </xdr:from>
    <xdr:to>
      <xdr:col>3</xdr:col>
      <xdr:colOff>47625</xdr:colOff>
      <xdr:row>6</xdr:row>
      <xdr:rowOff>19050</xdr:rowOff>
    </xdr:to>
    <xdr:pic>
      <xdr:nvPicPr>
        <xdr:cNvPr id="2" name="Picture 8" descr="logo asercom con estrellit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76200"/>
          <a:ext cx="147637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657225</xdr:colOff>
      <xdr:row>60</xdr:row>
      <xdr:rowOff>0</xdr:rowOff>
    </xdr:from>
    <xdr:to>
      <xdr:col>4</xdr:col>
      <xdr:colOff>438149</xdr:colOff>
      <xdr:row>62</xdr:row>
      <xdr:rowOff>81640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1801475"/>
          <a:ext cx="2066924" cy="4721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76200</xdr:rowOff>
    </xdr:from>
    <xdr:to>
      <xdr:col>3</xdr:col>
      <xdr:colOff>47625</xdr:colOff>
      <xdr:row>6</xdr:row>
      <xdr:rowOff>19050</xdr:rowOff>
    </xdr:to>
    <xdr:pic>
      <xdr:nvPicPr>
        <xdr:cNvPr id="2" name="Picture 8" descr="logo asercom con estrellit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76200"/>
          <a:ext cx="147637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609600</xdr:colOff>
      <xdr:row>45</xdr:row>
      <xdr:rowOff>133350</xdr:rowOff>
    </xdr:from>
    <xdr:to>
      <xdr:col>4</xdr:col>
      <xdr:colOff>390524</xdr:colOff>
      <xdr:row>48</xdr:row>
      <xdr:rowOff>24490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286875"/>
          <a:ext cx="2066924" cy="4721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76200</xdr:rowOff>
    </xdr:from>
    <xdr:to>
      <xdr:col>3</xdr:col>
      <xdr:colOff>47625</xdr:colOff>
      <xdr:row>6</xdr:row>
      <xdr:rowOff>19050</xdr:rowOff>
    </xdr:to>
    <xdr:pic>
      <xdr:nvPicPr>
        <xdr:cNvPr id="2" name="Picture 8" descr="logo asercom con estrellit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7675" y="76200"/>
          <a:ext cx="147637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628650</xdr:colOff>
      <xdr:row>44</xdr:row>
      <xdr:rowOff>171450</xdr:rowOff>
    </xdr:from>
    <xdr:to>
      <xdr:col>4</xdr:col>
      <xdr:colOff>409574</xdr:colOff>
      <xdr:row>47</xdr:row>
      <xdr:rowOff>62590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" y="8810625"/>
          <a:ext cx="2066924" cy="472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rupoasercom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rupoasercom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grupoasercom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grupoaserco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4"/>
  <sheetViews>
    <sheetView tabSelected="1" workbookViewId="0">
      <selection activeCell="B24" sqref="B24"/>
    </sheetView>
  </sheetViews>
  <sheetFormatPr baseColWidth="10" defaultRowHeight="15" x14ac:dyDescent="0.25"/>
  <cols>
    <col min="1" max="1" width="6.7109375" customWidth="1"/>
    <col min="2" max="2" width="10" style="1" customWidth="1"/>
    <col min="4" max="4" width="12.85546875" customWidth="1"/>
    <col min="5" max="5" width="40.28515625" customWidth="1"/>
    <col min="6" max="6" width="16.7109375" customWidth="1"/>
    <col min="7" max="7" width="12.140625" bestFit="1" customWidth="1"/>
    <col min="8" max="8" width="13.5703125" bestFit="1" customWidth="1"/>
    <col min="9" max="9" width="13.42578125" customWidth="1"/>
    <col min="10" max="10" width="13.5703125" bestFit="1" customWidth="1"/>
    <col min="11" max="11" width="13.5703125" customWidth="1"/>
    <col min="14" max="15" width="11.42578125" style="3"/>
  </cols>
  <sheetData>
    <row r="2" spans="2:11" x14ac:dyDescent="0.25">
      <c r="G2" s="59" t="s">
        <v>0</v>
      </c>
      <c r="H2" s="59"/>
      <c r="I2" s="59"/>
      <c r="J2" s="59"/>
      <c r="K2" s="59"/>
    </row>
    <row r="3" spans="2:11" x14ac:dyDescent="0.25">
      <c r="G3" s="60" t="s">
        <v>1</v>
      </c>
      <c r="H3" s="60"/>
      <c r="I3" s="60"/>
      <c r="J3" s="60"/>
      <c r="K3" s="60"/>
    </row>
    <row r="7" spans="2:11" ht="15.75" thickBot="1" x14ac:dyDescent="0.3"/>
    <row r="8" spans="2:11" x14ac:dyDescent="0.25">
      <c r="B8" s="61" t="s">
        <v>2</v>
      </c>
      <c r="C8" s="62"/>
      <c r="D8" s="62"/>
      <c r="E8" s="63"/>
      <c r="G8" s="61" t="s">
        <v>3</v>
      </c>
      <c r="H8" s="62"/>
      <c r="I8" s="62"/>
      <c r="J8" s="62"/>
      <c r="K8" s="63"/>
    </row>
    <row r="9" spans="2:11" x14ac:dyDescent="0.25">
      <c r="B9" s="64" t="s">
        <v>49</v>
      </c>
      <c r="C9" s="65"/>
      <c r="D9" s="65"/>
      <c r="E9" s="66"/>
      <c r="G9" s="67" t="s">
        <v>64</v>
      </c>
      <c r="H9" s="68"/>
      <c r="I9" s="68"/>
      <c r="J9" s="68"/>
      <c r="K9" s="69"/>
    </row>
    <row r="10" spans="2:11" x14ac:dyDescent="0.25">
      <c r="B10" s="67" t="s">
        <v>4</v>
      </c>
      <c r="C10" s="68"/>
      <c r="D10" s="68"/>
      <c r="E10" s="69"/>
      <c r="G10" s="67" t="s">
        <v>45</v>
      </c>
      <c r="H10" s="68"/>
      <c r="I10" s="68"/>
      <c r="J10" s="68"/>
      <c r="K10" s="69"/>
    </row>
    <row r="11" spans="2:11" x14ac:dyDescent="0.25">
      <c r="B11" s="64" t="s">
        <v>50</v>
      </c>
      <c r="C11" s="70"/>
      <c r="D11" s="70"/>
      <c r="E11" s="71"/>
      <c r="G11" s="38" t="s">
        <v>5</v>
      </c>
      <c r="H11" s="2"/>
      <c r="I11" s="39" t="s">
        <v>48</v>
      </c>
      <c r="J11" s="2" t="s">
        <v>6</v>
      </c>
      <c r="K11" s="40" t="s">
        <v>111</v>
      </c>
    </row>
    <row r="12" spans="2:11" x14ac:dyDescent="0.25">
      <c r="B12" s="67" t="s">
        <v>7</v>
      </c>
      <c r="C12" s="68"/>
      <c r="D12" s="68" t="s">
        <v>8</v>
      </c>
      <c r="E12" s="69"/>
      <c r="G12" s="67" t="s">
        <v>9</v>
      </c>
      <c r="H12" s="68"/>
      <c r="I12" s="68"/>
      <c r="J12" s="68"/>
      <c r="K12" s="69"/>
    </row>
    <row r="13" spans="2:11" ht="15.75" thickBot="1" x14ac:dyDescent="0.3">
      <c r="B13" s="77" t="s">
        <v>10</v>
      </c>
      <c r="C13" s="78"/>
      <c r="D13" s="78"/>
      <c r="E13" s="79"/>
      <c r="G13" s="80"/>
      <c r="H13" s="81"/>
      <c r="I13" s="81"/>
      <c r="J13" s="81"/>
      <c r="K13" s="82"/>
    </row>
    <row r="14" spans="2:11" x14ac:dyDescent="0.25">
      <c r="B14" s="88"/>
      <c r="C14" s="88"/>
      <c r="D14" s="88"/>
      <c r="E14" s="88"/>
      <c r="F14" s="88"/>
      <c r="G14" s="88"/>
      <c r="H14" s="88"/>
      <c r="I14" s="88"/>
      <c r="J14" s="88"/>
      <c r="K14" s="88"/>
    </row>
    <row r="15" spans="2:11" x14ac:dyDescent="0.25">
      <c r="B15" s="88"/>
      <c r="C15" s="88"/>
      <c r="D15" s="88"/>
      <c r="E15" s="88"/>
      <c r="F15" s="88"/>
      <c r="G15" s="88"/>
      <c r="H15" s="88"/>
      <c r="I15" s="88"/>
      <c r="J15" s="88"/>
      <c r="K15" s="88"/>
    </row>
    <row r="16" spans="2:11" x14ac:dyDescent="0.25">
      <c r="B16" s="138" t="s">
        <v>11</v>
      </c>
      <c r="C16" s="139"/>
      <c r="D16" s="139"/>
      <c r="E16" s="139"/>
      <c r="F16" s="139"/>
      <c r="G16" s="139"/>
      <c r="H16" s="139"/>
      <c r="I16" s="139"/>
      <c r="J16" s="139"/>
      <c r="K16" s="140"/>
    </row>
    <row r="17" spans="2:11" x14ac:dyDescent="0.25">
      <c r="B17" s="141" t="s">
        <v>112</v>
      </c>
      <c r="C17" s="142"/>
      <c r="D17" s="142"/>
      <c r="E17" s="142"/>
      <c r="F17" s="142"/>
      <c r="G17" s="142"/>
      <c r="H17" s="142"/>
      <c r="I17" s="142"/>
      <c r="J17" s="142"/>
      <c r="K17" s="143"/>
    </row>
    <row r="18" spans="2:11" x14ac:dyDescent="0.25">
      <c r="B18" s="144"/>
      <c r="C18" s="144"/>
      <c r="D18" s="144"/>
      <c r="E18" s="144"/>
      <c r="F18" s="144"/>
      <c r="G18" s="144"/>
      <c r="H18" s="144"/>
      <c r="I18" s="144"/>
      <c r="J18" s="144"/>
      <c r="K18" s="144"/>
    </row>
    <row r="19" spans="2:11" x14ac:dyDescent="0.25">
      <c r="B19" s="55"/>
      <c r="C19" s="55"/>
      <c r="D19" s="55"/>
      <c r="E19" s="55"/>
      <c r="F19" s="55"/>
      <c r="G19" s="55"/>
      <c r="H19" s="55"/>
      <c r="I19" s="55"/>
      <c r="J19" s="55"/>
      <c r="K19" s="55"/>
    </row>
    <row r="20" spans="2:11" x14ac:dyDescent="0.25">
      <c r="B20" s="55"/>
      <c r="C20" s="55"/>
      <c r="D20" s="55"/>
      <c r="E20" s="55"/>
      <c r="F20" s="55"/>
      <c r="G20" s="55"/>
      <c r="H20" s="55" t="s">
        <v>102</v>
      </c>
      <c r="I20" s="55"/>
      <c r="J20" s="55" t="s">
        <v>16</v>
      </c>
      <c r="K20" s="55"/>
    </row>
    <row r="21" spans="2:11" x14ac:dyDescent="0.25"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2:11" x14ac:dyDescent="0.25">
      <c r="B22" s="55"/>
      <c r="C22" s="55"/>
      <c r="D22" s="55"/>
      <c r="E22" s="55"/>
      <c r="F22" s="55"/>
      <c r="G22" s="55"/>
      <c r="H22" s="55"/>
      <c r="I22" s="55"/>
      <c r="J22" s="55"/>
      <c r="K22" s="55"/>
    </row>
    <row r="23" spans="2:11" x14ac:dyDescent="0.25">
      <c r="B23" s="55"/>
      <c r="C23" s="55"/>
      <c r="D23" s="55"/>
      <c r="E23" s="55"/>
      <c r="F23" s="55"/>
      <c r="G23" s="55"/>
      <c r="H23" s="55"/>
      <c r="I23" s="55"/>
      <c r="J23" s="55"/>
      <c r="K23" s="55"/>
    </row>
    <row r="24" spans="2:11" ht="15.75" x14ac:dyDescent="0.25">
      <c r="B24" s="55"/>
      <c r="C24" s="145">
        <v>1</v>
      </c>
      <c r="D24" s="163" t="str">
        <f>Acceso!B17</f>
        <v>Control de Acceso  Area Almacen</v>
      </c>
      <c r="E24" s="163"/>
      <c r="F24" s="145"/>
      <c r="G24" s="145"/>
      <c r="H24" s="147">
        <f>Acceso!G45</f>
        <v>1391.97</v>
      </c>
      <c r="I24" s="146" t="s">
        <v>23</v>
      </c>
      <c r="J24" s="147">
        <f>Acceso!I45</f>
        <v>453.82800000000003</v>
      </c>
      <c r="K24" s="145" t="s">
        <v>23</v>
      </c>
    </row>
    <row r="25" spans="2:11" x14ac:dyDescent="0.25">
      <c r="B25" s="55"/>
      <c r="C25" s="55"/>
      <c r="D25" s="55"/>
      <c r="E25" s="55"/>
      <c r="F25" s="55"/>
      <c r="G25" s="55"/>
      <c r="H25" s="55"/>
      <c r="I25" s="55"/>
      <c r="J25" s="55"/>
      <c r="K25" s="55"/>
    </row>
    <row r="26" spans="2:11" ht="15.75" x14ac:dyDescent="0.25">
      <c r="B26" s="55"/>
      <c r="C26" s="145">
        <v>2</v>
      </c>
      <c r="D26" s="163" t="str">
        <f>AP!B17</f>
        <v>Canalizacion para Acces Point  en Area de Terminados</v>
      </c>
      <c r="E26" s="163"/>
      <c r="F26" s="145"/>
      <c r="G26" s="145"/>
      <c r="H26" s="147">
        <f>AP!G31</f>
        <v>288.48</v>
      </c>
      <c r="I26" s="146" t="s">
        <v>23</v>
      </c>
      <c r="J26" s="147">
        <f>AP!I31</f>
        <v>284.47199999999998</v>
      </c>
      <c r="K26" s="145" t="s">
        <v>23</v>
      </c>
    </row>
    <row r="27" spans="2:11" ht="15.75" x14ac:dyDescent="0.25">
      <c r="B27" s="145"/>
      <c r="C27" s="145"/>
      <c r="D27" s="146"/>
      <c r="E27" s="146"/>
      <c r="F27" s="145"/>
      <c r="G27" s="145"/>
      <c r="H27" s="147"/>
      <c r="I27" s="146"/>
      <c r="J27" s="145"/>
      <c r="K27" s="145"/>
    </row>
    <row r="28" spans="2:11" ht="16.5" thickBot="1" x14ac:dyDescent="0.3">
      <c r="B28" s="148"/>
      <c r="C28" s="148">
        <v>3</v>
      </c>
      <c r="D28" s="149" t="str">
        <f>CCTV!B17</f>
        <v>Camara Comedor</v>
      </c>
      <c r="E28" s="149"/>
      <c r="F28" s="148"/>
      <c r="G28" s="148"/>
      <c r="H28" s="150">
        <f>CCTV!G30</f>
        <v>1091.9000000000001</v>
      </c>
      <c r="I28" s="151" t="s">
        <v>23</v>
      </c>
      <c r="J28" s="150">
        <f>CCTV!I30</f>
        <v>208.75</v>
      </c>
      <c r="K28" s="148" t="s">
        <v>23</v>
      </c>
    </row>
    <row r="29" spans="2:11" ht="16.5" thickTop="1" x14ac:dyDescent="0.25">
      <c r="B29" s="145"/>
      <c r="C29" s="145"/>
      <c r="D29" s="146"/>
      <c r="E29" s="146"/>
      <c r="F29" s="152" t="s">
        <v>103</v>
      </c>
      <c r="G29" s="152"/>
      <c r="H29" s="147">
        <f>SUM(H24:H28)</f>
        <v>2772.3500000000004</v>
      </c>
      <c r="I29" s="146" t="s">
        <v>23</v>
      </c>
      <c r="J29" s="153">
        <f>SUM(J24:J28)</f>
        <v>947.05</v>
      </c>
      <c r="K29" s="145" t="s">
        <v>23</v>
      </c>
    </row>
    <row r="30" spans="2:11" ht="15.75" thickBot="1" x14ac:dyDescent="0.3">
      <c r="B30" s="55"/>
      <c r="C30" s="55"/>
      <c r="D30" s="55"/>
      <c r="E30" s="55"/>
      <c r="F30" s="154"/>
      <c r="G30" s="154"/>
      <c r="H30" s="55"/>
      <c r="I30" s="55"/>
      <c r="J30" s="55"/>
      <c r="K30" s="55"/>
    </row>
    <row r="31" spans="2:11" ht="19.5" thickBot="1" x14ac:dyDescent="0.35">
      <c r="B31" s="55"/>
      <c r="C31" s="55"/>
      <c r="D31" s="55"/>
      <c r="E31" s="155"/>
      <c r="F31" s="156" t="s">
        <v>104</v>
      </c>
      <c r="G31" s="156"/>
      <c r="H31" s="157">
        <f>H29+J29</f>
        <v>3719.4000000000005</v>
      </c>
      <c r="I31" s="158"/>
      <c r="J31" s="158"/>
      <c r="K31" s="159"/>
    </row>
    <row r="32" spans="2:11" x14ac:dyDescent="0.25">
      <c r="H32" s="3"/>
      <c r="I32" s="3"/>
      <c r="J32" s="3"/>
    </row>
    <row r="33" spans="2:11" x14ac:dyDescent="0.25">
      <c r="H33" s="3"/>
      <c r="I33" s="3"/>
      <c r="J33" s="3"/>
    </row>
    <row r="34" spans="2:11" x14ac:dyDescent="0.25">
      <c r="H34" s="3"/>
      <c r="I34" s="3"/>
      <c r="J34" s="3"/>
    </row>
    <row r="35" spans="2:11" ht="15.75" x14ac:dyDescent="0.25">
      <c r="B35" s="95" t="s">
        <v>22</v>
      </c>
      <c r="C35" s="96"/>
      <c r="D35" s="97" t="s">
        <v>105</v>
      </c>
      <c r="E35" s="97"/>
      <c r="F35" s="97"/>
      <c r="G35" s="97"/>
      <c r="H35" s="97"/>
      <c r="I35" s="97"/>
      <c r="J35" s="97"/>
      <c r="K35" s="97"/>
    </row>
    <row r="36" spans="2:11" ht="15.75" x14ac:dyDescent="0.25">
      <c r="B36" s="52"/>
      <c r="C36" s="53"/>
      <c r="D36" s="97" t="s">
        <v>106</v>
      </c>
      <c r="E36" s="97"/>
      <c r="F36" s="97"/>
      <c r="G36" s="97"/>
      <c r="H36" s="97"/>
      <c r="I36" s="97"/>
      <c r="J36" s="97"/>
      <c r="K36" s="97"/>
    </row>
    <row r="37" spans="2:11" ht="15.75" x14ac:dyDescent="0.25">
      <c r="B37" s="95"/>
      <c r="C37" s="96"/>
      <c r="D37" s="97" t="s">
        <v>107</v>
      </c>
      <c r="E37" s="97"/>
      <c r="F37" s="97"/>
      <c r="G37" s="97"/>
      <c r="H37" s="97"/>
      <c r="I37" s="97"/>
      <c r="J37" s="97"/>
      <c r="K37" s="97"/>
    </row>
    <row r="38" spans="2:11" x14ac:dyDescent="0.25">
      <c r="H38" s="3"/>
      <c r="I38" s="3"/>
      <c r="J38" s="10"/>
    </row>
    <row r="39" spans="2:11" ht="15.75" thickBot="1" x14ac:dyDescent="0.3">
      <c r="B39" s="12"/>
      <c r="C39" s="51"/>
      <c r="D39" s="54"/>
      <c r="E39" s="54"/>
      <c r="F39" s="54"/>
      <c r="G39" s="54"/>
      <c r="H39" s="54"/>
      <c r="I39" s="54"/>
      <c r="J39" s="54"/>
      <c r="K39" s="54"/>
    </row>
    <row r="40" spans="2:11" x14ac:dyDescent="0.25">
      <c r="B40" s="108" t="s">
        <v>27</v>
      </c>
      <c r="C40" s="109"/>
      <c r="D40" s="109"/>
      <c r="E40" s="109"/>
      <c r="F40" s="15"/>
      <c r="G40" s="110" t="s">
        <v>28</v>
      </c>
      <c r="H40" s="110"/>
      <c r="I40" s="110"/>
      <c r="J40" s="110"/>
      <c r="K40" s="111"/>
    </row>
    <row r="41" spans="2:11" x14ac:dyDescent="0.25">
      <c r="B41" s="16"/>
      <c r="C41" s="17"/>
      <c r="D41" s="17"/>
      <c r="E41" s="17"/>
      <c r="F41" s="54"/>
      <c r="G41" s="54"/>
      <c r="H41" s="54"/>
      <c r="I41" s="54"/>
      <c r="J41" s="54"/>
      <c r="K41" s="18"/>
    </row>
    <row r="42" spans="2:11" x14ac:dyDescent="0.25">
      <c r="B42" s="19" t="s">
        <v>29</v>
      </c>
      <c r="C42" s="20" t="s">
        <v>108</v>
      </c>
      <c r="D42" s="21"/>
      <c r="E42" s="21"/>
      <c r="F42" s="54"/>
      <c r="G42" s="12" t="s">
        <v>29</v>
      </c>
      <c r="H42" s="22"/>
      <c r="I42" s="23"/>
      <c r="J42" s="23"/>
      <c r="K42" s="18"/>
    </row>
    <row r="43" spans="2:11" x14ac:dyDescent="0.25">
      <c r="B43" s="19"/>
      <c r="C43" s="51"/>
      <c r="D43" s="54"/>
      <c r="E43" s="54"/>
      <c r="F43" s="54"/>
      <c r="G43" s="54"/>
      <c r="H43" s="54"/>
      <c r="I43" s="54"/>
      <c r="J43" s="54"/>
      <c r="K43" s="18"/>
    </row>
    <row r="44" spans="2:11" ht="15.75" thickBot="1" x14ac:dyDescent="0.3">
      <c r="B44" s="24" t="s">
        <v>30</v>
      </c>
      <c r="C44" s="25"/>
      <c r="D44" s="26"/>
      <c r="E44" s="26"/>
      <c r="F44" s="26"/>
      <c r="G44" s="27" t="s">
        <v>30</v>
      </c>
      <c r="H44" s="26"/>
      <c r="I44" s="26"/>
      <c r="J44" s="26"/>
      <c r="K44" s="28"/>
    </row>
    <row r="45" spans="2:11" x14ac:dyDescent="0.25">
      <c r="B45" s="12"/>
      <c r="C45" s="51"/>
      <c r="D45" s="54"/>
      <c r="E45" s="54"/>
      <c r="F45" s="54"/>
      <c r="G45" s="54"/>
      <c r="H45" s="54"/>
      <c r="I45" s="54"/>
      <c r="J45" s="54"/>
      <c r="K45" s="54"/>
    </row>
    <row r="46" spans="2:11" x14ac:dyDescent="0.25">
      <c r="B46" s="12"/>
      <c r="C46" s="160"/>
      <c r="D46" s="161"/>
      <c r="E46" s="161"/>
      <c r="F46" s="161"/>
      <c r="G46" s="54"/>
      <c r="H46" s="54"/>
      <c r="I46" s="54"/>
      <c r="J46" s="54"/>
      <c r="K46" s="54"/>
    </row>
    <row r="47" spans="2:11" x14ac:dyDescent="0.25">
      <c r="B47" s="12"/>
      <c r="C47" s="160"/>
      <c r="D47" s="161"/>
      <c r="E47" s="162"/>
      <c r="F47" s="161"/>
      <c r="G47" s="54"/>
      <c r="H47" s="54"/>
      <c r="I47" s="54"/>
      <c r="J47" s="54"/>
      <c r="K47" s="54"/>
    </row>
    <row r="48" spans="2:11" ht="15.75" thickBot="1" x14ac:dyDescent="0.3">
      <c r="B48" s="29"/>
      <c r="C48" s="30"/>
      <c r="D48" s="30"/>
      <c r="E48" s="30"/>
      <c r="F48" s="30"/>
      <c r="G48" s="30"/>
      <c r="H48" s="30"/>
      <c r="I48" s="30"/>
      <c r="J48" s="30"/>
      <c r="K48" s="30"/>
    </row>
    <row r="49" spans="2:11" x14ac:dyDescent="0.25">
      <c r="B49" s="112" t="s">
        <v>31</v>
      </c>
      <c r="C49" s="112"/>
      <c r="D49" s="112"/>
      <c r="E49" s="113" t="s">
        <v>32</v>
      </c>
      <c r="F49" s="113"/>
      <c r="G49" s="113"/>
      <c r="H49" s="113"/>
    </row>
    <row r="50" spans="2:11" x14ac:dyDescent="0.25">
      <c r="B50" s="114" t="s">
        <v>33</v>
      </c>
      <c r="C50" s="114"/>
      <c r="D50" s="114"/>
      <c r="E50" s="114" t="s">
        <v>34</v>
      </c>
      <c r="F50" s="114"/>
      <c r="G50" s="114"/>
      <c r="H50" s="114"/>
      <c r="I50" s="114" t="s">
        <v>35</v>
      </c>
      <c r="J50" s="114"/>
      <c r="K50" s="114"/>
    </row>
    <row r="51" spans="2:11" x14ac:dyDescent="0.25">
      <c r="B51" s="115" t="s">
        <v>36</v>
      </c>
      <c r="C51" s="115"/>
      <c r="D51" s="115"/>
      <c r="E51" s="115" t="s">
        <v>37</v>
      </c>
      <c r="F51" s="115"/>
      <c r="G51" s="115"/>
      <c r="H51" s="115"/>
      <c r="I51" s="115" t="s">
        <v>38</v>
      </c>
      <c r="J51" s="115"/>
      <c r="K51" s="115"/>
    </row>
    <row r="52" spans="2:11" x14ac:dyDescent="0.25">
      <c r="B52" s="115" t="s">
        <v>39</v>
      </c>
      <c r="C52" s="115"/>
      <c r="D52" s="115"/>
      <c r="E52" s="115" t="s">
        <v>40</v>
      </c>
      <c r="F52" s="115"/>
      <c r="G52" s="115"/>
      <c r="H52" s="115"/>
      <c r="I52" s="115" t="s">
        <v>41</v>
      </c>
      <c r="J52" s="115"/>
      <c r="K52" s="115"/>
    </row>
    <row r="53" spans="2:11" x14ac:dyDescent="0.25">
      <c r="B53" s="115" t="s">
        <v>42</v>
      </c>
      <c r="C53" s="115"/>
      <c r="D53" s="115"/>
      <c r="E53" s="115" t="s">
        <v>43</v>
      </c>
      <c r="F53" s="115"/>
      <c r="G53" s="115"/>
      <c r="H53" s="115"/>
      <c r="I53" s="115" t="s">
        <v>44</v>
      </c>
      <c r="J53" s="115"/>
      <c r="K53" s="115"/>
    </row>
    <row r="54" spans="2:11" x14ac:dyDescent="0.25">
      <c r="B54" s="12"/>
      <c r="C54" s="51"/>
      <c r="D54" s="54"/>
      <c r="E54" s="54"/>
      <c r="F54" s="54"/>
      <c r="G54" s="54"/>
      <c r="H54" s="54"/>
      <c r="I54" s="54"/>
      <c r="J54" s="54"/>
      <c r="K54" s="54"/>
    </row>
  </sheetData>
  <mergeCells count="47">
    <mergeCell ref="B52:D52"/>
    <mergeCell ref="E52:H52"/>
    <mergeCell ref="I52:K52"/>
    <mergeCell ref="B53:D53"/>
    <mergeCell ref="E53:H53"/>
    <mergeCell ref="I53:K53"/>
    <mergeCell ref="B49:D49"/>
    <mergeCell ref="E49:H49"/>
    <mergeCell ref="B50:D50"/>
    <mergeCell ref="E50:H50"/>
    <mergeCell ref="I50:K50"/>
    <mergeCell ref="B51:D51"/>
    <mergeCell ref="E51:H51"/>
    <mergeCell ref="I51:K51"/>
    <mergeCell ref="B35:C35"/>
    <mergeCell ref="D35:K35"/>
    <mergeCell ref="D36:K36"/>
    <mergeCell ref="B37:C37"/>
    <mergeCell ref="D37:K37"/>
    <mergeCell ref="B40:E40"/>
    <mergeCell ref="G40:K40"/>
    <mergeCell ref="F29:G29"/>
    <mergeCell ref="F31:G31"/>
    <mergeCell ref="H31:K31"/>
    <mergeCell ref="B14:K14"/>
    <mergeCell ref="B15:K15"/>
    <mergeCell ref="B16:K16"/>
    <mergeCell ref="B17:K17"/>
    <mergeCell ref="B18:K18"/>
    <mergeCell ref="D28:E28"/>
    <mergeCell ref="D26:E26"/>
    <mergeCell ref="D24:E24"/>
    <mergeCell ref="B10:E10"/>
    <mergeCell ref="G10:K10"/>
    <mergeCell ref="B12:C12"/>
    <mergeCell ref="D12:E12"/>
    <mergeCell ref="G12:K12"/>
    <mergeCell ref="B13:C13"/>
    <mergeCell ref="D13:E13"/>
    <mergeCell ref="G13:K13"/>
    <mergeCell ref="B11:E11"/>
    <mergeCell ref="G2:K2"/>
    <mergeCell ref="G3:K3"/>
    <mergeCell ref="B8:E8"/>
    <mergeCell ref="G8:K8"/>
    <mergeCell ref="B9:E9"/>
    <mergeCell ref="G9:K9"/>
  </mergeCells>
  <hyperlinks>
    <hyperlink ref="E49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B2:O72"/>
  <sheetViews>
    <sheetView zoomScaleNormal="100" workbookViewId="0">
      <selection activeCell="E5" sqref="B5:E11"/>
    </sheetView>
  </sheetViews>
  <sheetFormatPr baseColWidth="10" defaultRowHeight="15" x14ac:dyDescent="0.25"/>
  <cols>
    <col min="1" max="1" width="6.7109375" customWidth="1"/>
    <col min="2" max="2" width="10" style="1" customWidth="1"/>
    <col min="4" max="4" width="12.85546875" customWidth="1"/>
    <col min="5" max="5" width="33.28515625" customWidth="1"/>
    <col min="6" max="6" width="16.7109375" customWidth="1"/>
    <col min="7" max="7" width="12.140625" bestFit="1" customWidth="1"/>
    <col min="8" max="8" width="13.5703125" bestFit="1" customWidth="1"/>
    <col min="9" max="9" width="13.42578125" customWidth="1"/>
    <col min="10" max="10" width="13.5703125" bestFit="1" customWidth="1"/>
    <col min="11" max="11" width="13.5703125" customWidth="1"/>
    <col min="14" max="15" width="11.42578125" style="3"/>
  </cols>
  <sheetData>
    <row r="2" spans="2:11" x14ac:dyDescent="0.25">
      <c r="G2" s="59" t="s">
        <v>0</v>
      </c>
      <c r="H2" s="59"/>
      <c r="I2" s="59"/>
      <c r="J2" s="59"/>
      <c r="K2" s="59"/>
    </row>
    <row r="3" spans="2:11" x14ac:dyDescent="0.25">
      <c r="G3" s="60" t="s">
        <v>1</v>
      </c>
      <c r="H3" s="60"/>
      <c r="I3" s="60"/>
      <c r="J3" s="60"/>
      <c r="K3" s="60"/>
    </row>
    <row r="7" spans="2:11" ht="15.75" thickBot="1" x14ac:dyDescent="0.3"/>
    <row r="8" spans="2:11" x14ac:dyDescent="0.25">
      <c r="B8" s="61" t="s">
        <v>2</v>
      </c>
      <c r="C8" s="62"/>
      <c r="D8" s="62"/>
      <c r="E8" s="63"/>
      <c r="G8" s="61" t="s">
        <v>3</v>
      </c>
      <c r="H8" s="62"/>
      <c r="I8" s="62"/>
      <c r="J8" s="62"/>
      <c r="K8" s="63"/>
    </row>
    <row r="9" spans="2:11" x14ac:dyDescent="0.25">
      <c r="B9" s="64" t="s">
        <v>49</v>
      </c>
      <c r="C9" s="65"/>
      <c r="D9" s="65"/>
      <c r="E9" s="66"/>
      <c r="G9" s="67" t="s">
        <v>64</v>
      </c>
      <c r="H9" s="68"/>
      <c r="I9" s="68"/>
      <c r="J9" s="68"/>
      <c r="K9" s="69"/>
    </row>
    <row r="10" spans="2:11" x14ac:dyDescent="0.25">
      <c r="B10" s="67" t="s">
        <v>4</v>
      </c>
      <c r="C10" s="68"/>
      <c r="D10" s="68"/>
      <c r="E10" s="69"/>
      <c r="G10" s="67" t="s">
        <v>45</v>
      </c>
      <c r="H10" s="68"/>
      <c r="I10" s="68"/>
      <c r="J10" s="68"/>
      <c r="K10" s="69"/>
    </row>
    <row r="11" spans="2:11" x14ac:dyDescent="0.25">
      <c r="B11" s="64" t="s">
        <v>50</v>
      </c>
      <c r="C11" s="70"/>
      <c r="D11" s="70"/>
      <c r="E11" s="71"/>
      <c r="G11" s="38" t="s">
        <v>5</v>
      </c>
      <c r="H11" s="2"/>
      <c r="I11" s="39" t="s">
        <v>48</v>
      </c>
      <c r="J11" s="2" t="s">
        <v>6</v>
      </c>
      <c r="K11" s="40" t="s">
        <v>63</v>
      </c>
    </row>
    <row r="12" spans="2:11" x14ac:dyDescent="0.25">
      <c r="B12" s="67" t="s">
        <v>7</v>
      </c>
      <c r="C12" s="68"/>
      <c r="D12" s="68" t="s">
        <v>8</v>
      </c>
      <c r="E12" s="69"/>
      <c r="G12" s="67" t="s">
        <v>9</v>
      </c>
      <c r="H12" s="68"/>
      <c r="I12" s="68"/>
      <c r="J12" s="68"/>
      <c r="K12" s="69"/>
    </row>
    <row r="13" spans="2:11" ht="15.75" thickBot="1" x14ac:dyDescent="0.3">
      <c r="B13" s="77" t="s">
        <v>10</v>
      </c>
      <c r="C13" s="78"/>
      <c r="D13" s="78"/>
      <c r="E13" s="79"/>
      <c r="G13" s="80"/>
      <c r="H13" s="81"/>
      <c r="I13" s="81"/>
      <c r="J13" s="81"/>
      <c r="K13" s="82"/>
    </row>
    <row r="14" spans="2:11" x14ac:dyDescent="0.25">
      <c r="B14" s="88"/>
      <c r="C14" s="88"/>
      <c r="D14" s="88"/>
      <c r="E14" s="88"/>
      <c r="F14" s="88"/>
      <c r="G14" s="88"/>
      <c r="H14" s="88"/>
      <c r="I14" s="88"/>
      <c r="J14" s="88"/>
      <c r="K14" s="88"/>
    </row>
    <row r="15" spans="2:11" ht="15.75" thickBot="1" x14ac:dyDescent="0.3">
      <c r="B15" s="88"/>
      <c r="C15" s="88"/>
      <c r="D15" s="88"/>
      <c r="E15" s="88"/>
      <c r="F15" s="88"/>
      <c r="G15" s="88"/>
      <c r="H15" s="88"/>
      <c r="I15" s="88"/>
      <c r="J15" s="88"/>
      <c r="K15" s="88"/>
    </row>
    <row r="16" spans="2:11" x14ac:dyDescent="0.25">
      <c r="B16" s="89" t="s">
        <v>11</v>
      </c>
      <c r="C16" s="90"/>
      <c r="D16" s="90"/>
      <c r="E16" s="90"/>
      <c r="F16" s="90"/>
      <c r="G16" s="90"/>
      <c r="H16" s="90"/>
      <c r="I16" s="90"/>
      <c r="J16" s="90"/>
      <c r="K16" s="91"/>
    </row>
    <row r="17" spans="2:11" ht="15.75" thickBot="1" x14ac:dyDescent="0.3">
      <c r="B17" s="92" t="s">
        <v>109</v>
      </c>
      <c r="C17" s="93"/>
      <c r="D17" s="93"/>
      <c r="E17" s="93"/>
      <c r="F17" s="93"/>
      <c r="G17" s="93"/>
      <c r="H17" s="93"/>
      <c r="I17" s="93"/>
      <c r="J17" s="93"/>
      <c r="K17" s="94"/>
    </row>
    <row r="18" spans="2:11" ht="15.75" thickBot="1" x14ac:dyDescent="0.3"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spans="2:11" ht="24" customHeight="1" x14ac:dyDescent="0.25">
      <c r="B19" s="83" t="s">
        <v>12</v>
      </c>
      <c r="C19" s="85" t="s">
        <v>13</v>
      </c>
      <c r="D19" s="85"/>
      <c r="E19" s="85"/>
      <c r="F19" s="85" t="s">
        <v>14</v>
      </c>
      <c r="G19" s="87" t="s">
        <v>15</v>
      </c>
      <c r="H19" s="87"/>
      <c r="I19" s="87" t="s">
        <v>16</v>
      </c>
      <c r="J19" s="87"/>
      <c r="K19" s="57" t="s">
        <v>17</v>
      </c>
    </row>
    <row r="20" spans="2:11" x14ac:dyDescent="0.25">
      <c r="B20" s="84"/>
      <c r="C20" s="86"/>
      <c r="D20" s="86"/>
      <c r="E20" s="86"/>
      <c r="F20" s="86"/>
      <c r="G20" s="41" t="s">
        <v>18</v>
      </c>
      <c r="H20" s="41" t="s">
        <v>19</v>
      </c>
      <c r="I20" s="41" t="s">
        <v>18</v>
      </c>
      <c r="J20" s="41" t="s">
        <v>19</v>
      </c>
      <c r="K20" s="58"/>
    </row>
    <row r="21" spans="2:11" ht="15" customHeight="1" x14ac:dyDescent="0.25">
      <c r="B21" s="48"/>
      <c r="C21" s="72" t="s">
        <v>47</v>
      </c>
      <c r="D21" s="72"/>
      <c r="E21" s="72"/>
      <c r="F21" s="72"/>
      <c r="G21" s="72"/>
      <c r="H21" s="72"/>
      <c r="I21" s="72"/>
      <c r="J21" s="72"/>
      <c r="K21" s="73"/>
    </row>
    <row r="22" spans="2:11" x14ac:dyDescent="0.25">
      <c r="B22" s="42">
        <v>1</v>
      </c>
      <c r="C22" s="74" t="s">
        <v>55</v>
      </c>
      <c r="D22" s="74"/>
      <c r="E22" s="74"/>
      <c r="F22" s="4" t="s">
        <v>56</v>
      </c>
      <c r="G22" s="5">
        <v>245</v>
      </c>
      <c r="H22" s="5">
        <f>G22*B22</f>
        <v>245</v>
      </c>
      <c r="I22" s="5">
        <v>35</v>
      </c>
      <c r="J22" s="5">
        <f>I22*B22</f>
        <v>35</v>
      </c>
      <c r="K22" s="43">
        <f>SUM(J22+H22)</f>
        <v>280</v>
      </c>
    </row>
    <row r="23" spans="2:11" x14ac:dyDescent="0.25">
      <c r="B23" s="42">
        <v>2</v>
      </c>
      <c r="C23" s="74" t="s">
        <v>57</v>
      </c>
      <c r="D23" s="74"/>
      <c r="E23" s="74"/>
      <c r="F23" s="50" t="s">
        <v>58</v>
      </c>
      <c r="G23" s="5">
        <v>166</v>
      </c>
      <c r="H23" s="5">
        <f t="shared" ref="H23:H43" si="0">G23*B23</f>
        <v>332</v>
      </c>
      <c r="I23" s="5">
        <v>15</v>
      </c>
      <c r="J23" s="5">
        <f t="shared" ref="J23:J43" si="1">I23*B23</f>
        <v>30</v>
      </c>
      <c r="K23" s="43">
        <f t="shared" ref="K23:K43" si="2">SUM(J23+H23)</f>
        <v>362</v>
      </c>
    </row>
    <row r="24" spans="2:11" x14ac:dyDescent="0.25">
      <c r="B24" s="42">
        <v>2</v>
      </c>
      <c r="C24" s="74" t="s">
        <v>59</v>
      </c>
      <c r="D24" s="74"/>
      <c r="E24" s="74"/>
      <c r="F24" s="50" t="s">
        <v>60</v>
      </c>
      <c r="G24" s="5">
        <v>18</v>
      </c>
      <c r="H24" s="5">
        <f t="shared" si="0"/>
        <v>36</v>
      </c>
      <c r="I24" s="5">
        <v>5</v>
      </c>
      <c r="J24" s="5">
        <f t="shared" si="1"/>
        <v>10</v>
      </c>
      <c r="K24" s="43">
        <f t="shared" si="2"/>
        <v>46</v>
      </c>
    </row>
    <row r="25" spans="2:11" x14ac:dyDescent="0.25">
      <c r="B25" s="42">
        <v>100</v>
      </c>
      <c r="C25" s="74" t="s">
        <v>61</v>
      </c>
      <c r="D25" s="74"/>
      <c r="E25" s="74"/>
      <c r="F25" s="50" t="s">
        <v>62</v>
      </c>
      <c r="G25" s="5">
        <v>0.65</v>
      </c>
      <c r="H25" s="5">
        <f t="shared" si="0"/>
        <v>65</v>
      </c>
      <c r="I25" s="5">
        <v>0.32</v>
      </c>
      <c r="J25" s="5">
        <f t="shared" si="1"/>
        <v>32</v>
      </c>
      <c r="K25" s="43">
        <f t="shared" si="2"/>
        <v>97</v>
      </c>
    </row>
    <row r="26" spans="2:11" ht="15" customHeight="1" x14ac:dyDescent="0.25">
      <c r="B26" s="42">
        <v>40</v>
      </c>
      <c r="C26" s="74" t="s">
        <v>66</v>
      </c>
      <c r="D26" s="74"/>
      <c r="E26" s="74"/>
      <c r="F26" s="50">
        <v>1118580</v>
      </c>
      <c r="G26" s="5">
        <v>0.69</v>
      </c>
      <c r="H26" s="5">
        <f t="shared" si="0"/>
        <v>27.599999999999998</v>
      </c>
      <c r="I26" s="5">
        <v>0.32</v>
      </c>
      <c r="J26" s="5">
        <f t="shared" si="1"/>
        <v>12.8</v>
      </c>
      <c r="K26" s="43">
        <f t="shared" si="2"/>
        <v>40.4</v>
      </c>
    </row>
    <row r="27" spans="2:11" ht="24" customHeight="1" x14ac:dyDescent="0.25">
      <c r="B27" s="116">
        <v>2</v>
      </c>
      <c r="C27" s="74" t="s">
        <v>65</v>
      </c>
      <c r="D27" s="74"/>
      <c r="E27" s="74"/>
      <c r="F27" s="50" t="s">
        <v>67</v>
      </c>
      <c r="G27" s="5">
        <v>79</v>
      </c>
      <c r="H27" s="5">
        <f t="shared" si="0"/>
        <v>158</v>
      </c>
      <c r="I27" s="5">
        <v>20</v>
      </c>
      <c r="J27" s="5">
        <f t="shared" si="1"/>
        <v>40</v>
      </c>
      <c r="K27" s="43">
        <f t="shared" si="2"/>
        <v>198</v>
      </c>
    </row>
    <row r="28" spans="2:11" x14ac:dyDescent="0.25">
      <c r="B28" s="42">
        <v>2</v>
      </c>
      <c r="C28" s="74" t="s">
        <v>68</v>
      </c>
      <c r="D28" s="74"/>
      <c r="E28" s="74"/>
      <c r="F28" s="50" t="s">
        <v>69</v>
      </c>
      <c r="G28" s="5">
        <v>13</v>
      </c>
      <c r="H28" s="5">
        <f t="shared" si="0"/>
        <v>26</v>
      </c>
      <c r="I28" s="5">
        <v>8</v>
      </c>
      <c r="J28" s="5">
        <f t="shared" si="1"/>
        <v>16</v>
      </c>
      <c r="K28" s="43">
        <f t="shared" si="2"/>
        <v>42</v>
      </c>
    </row>
    <row r="29" spans="2:11" x14ac:dyDescent="0.25">
      <c r="B29" s="42">
        <v>2</v>
      </c>
      <c r="C29" s="74" t="s">
        <v>70</v>
      </c>
      <c r="D29" s="74"/>
      <c r="E29" s="74"/>
      <c r="F29" s="50" t="s">
        <v>71</v>
      </c>
      <c r="G29" s="5">
        <v>75</v>
      </c>
      <c r="H29" s="5">
        <f t="shared" si="0"/>
        <v>150</v>
      </c>
      <c r="I29" s="5">
        <v>10</v>
      </c>
      <c r="J29" s="5">
        <f t="shared" si="1"/>
        <v>20</v>
      </c>
      <c r="K29" s="43">
        <f t="shared" si="2"/>
        <v>170</v>
      </c>
    </row>
    <row r="30" spans="2:11" x14ac:dyDescent="0.25">
      <c r="B30" s="42">
        <v>10</v>
      </c>
      <c r="C30" s="129" t="s">
        <v>88</v>
      </c>
      <c r="D30" s="129"/>
      <c r="E30" s="129"/>
      <c r="F30" s="50" t="s">
        <v>89</v>
      </c>
      <c r="G30" s="119">
        <v>0.89</v>
      </c>
      <c r="H30" s="5">
        <f t="shared" si="0"/>
        <v>8.9</v>
      </c>
      <c r="I30" s="119">
        <v>0.32</v>
      </c>
      <c r="J30" s="5">
        <f t="shared" si="1"/>
        <v>3.2</v>
      </c>
      <c r="K30" s="43">
        <f t="shared" ref="K30" si="3">SUM(J30+H30)</f>
        <v>12.100000000000001</v>
      </c>
    </row>
    <row r="31" spans="2:11" x14ac:dyDescent="0.25">
      <c r="B31" s="130">
        <v>5</v>
      </c>
      <c r="C31" s="135" t="s">
        <v>96</v>
      </c>
      <c r="D31" s="135"/>
      <c r="E31" s="135"/>
      <c r="F31" s="136" t="s">
        <v>97</v>
      </c>
      <c r="G31" s="134">
        <v>0.9</v>
      </c>
      <c r="H31" s="5">
        <f t="shared" si="0"/>
        <v>4.5</v>
      </c>
      <c r="I31" s="134">
        <v>0.36000000000000004</v>
      </c>
      <c r="J31" s="5">
        <f t="shared" si="1"/>
        <v>1.8000000000000003</v>
      </c>
      <c r="K31" s="43">
        <f t="shared" ref="K31" si="4">SUM(J31+H31)</f>
        <v>6.3000000000000007</v>
      </c>
    </row>
    <row r="32" spans="2:11" x14ac:dyDescent="0.25">
      <c r="B32" s="42">
        <v>1</v>
      </c>
      <c r="C32" s="74" t="s">
        <v>81</v>
      </c>
      <c r="D32" s="74"/>
      <c r="E32" s="74"/>
      <c r="F32" s="50" t="s">
        <v>82</v>
      </c>
      <c r="G32" s="5">
        <v>72</v>
      </c>
      <c r="H32" s="5">
        <f t="shared" si="0"/>
        <v>72</v>
      </c>
      <c r="I32" s="5">
        <v>15</v>
      </c>
      <c r="J32" s="5">
        <f t="shared" si="1"/>
        <v>15</v>
      </c>
      <c r="K32" s="43">
        <f t="shared" si="2"/>
        <v>87</v>
      </c>
    </row>
    <row r="33" spans="2:15" x14ac:dyDescent="0.25">
      <c r="B33" s="42">
        <v>1</v>
      </c>
      <c r="C33" s="74" t="s">
        <v>83</v>
      </c>
      <c r="D33" s="74"/>
      <c r="E33" s="74"/>
      <c r="F33" s="50" t="s">
        <v>84</v>
      </c>
      <c r="G33" s="5">
        <v>14</v>
      </c>
      <c r="H33" s="5">
        <f t="shared" si="0"/>
        <v>14</v>
      </c>
      <c r="I33" s="5">
        <v>5</v>
      </c>
      <c r="J33" s="5">
        <f t="shared" si="1"/>
        <v>5</v>
      </c>
      <c r="K33" s="43">
        <f t="shared" si="2"/>
        <v>19</v>
      </c>
    </row>
    <row r="34" spans="2:15" x14ac:dyDescent="0.25">
      <c r="B34" s="117"/>
      <c r="C34" s="123" t="s">
        <v>75</v>
      </c>
      <c r="D34" s="123"/>
      <c r="E34" s="123"/>
      <c r="F34" s="123"/>
      <c r="G34" s="123"/>
      <c r="H34" s="123"/>
      <c r="I34" s="123"/>
      <c r="J34" s="123"/>
      <c r="K34" s="124"/>
    </row>
    <row r="35" spans="2:15" ht="15" customHeight="1" x14ac:dyDescent="0.25">
      <c r="B35" s="125">
        <v>13</v>
      </c>
      <c r="C35" s="126" t="s">
        <v>76</v>
      </c>
      <c r="D35" s="126"/>
      <c r="E35" s="126"/>
      <c r="F35" s="127" t="s">
        <v>72</v>
      </c>
      <c r="G35" s="5">
        <v>4.8899999999999997</v>
      </c>
      <c r="H35" s="5">
        <f t="shared" si="0"/>
        <v>63.569999999999993</v>
      </c>
      <c r="I35" s="5">
        <v>1.956</v>
      </c>
      <c r="J35" s="5">
        <f t="shared" si="1"/>
        <v>25.428000000000001</v>
      </c>
      <c r="K35" s="43">
        <f t="shared" si="2"/>
        <v>88.99799999999999</v>
      </c>
    </row>
    <row r="36" spans="2:15" ht="15" customHeight="1" x14ac:dyDescent="0.25">
      <c r="B36" s="125">
        <v>5</v>
      </c>
      <c r="C36" s="126" t="s">
        <v>77</v>
      </c>
      <c r="D36" s="126"/>
      <c r="E36" s="126"/>
      <c r="F36" s="127" t="s">
        <v>72</v>
      </c>
      <c r="G36" s="5">
        <v>0.54</v>
      </c>
      <c r="H36" s="5">
        <f t="shared" si="0"/>
        <v>2.7</v>
      </c>
      <c r="I36" s="5">
        <v>0.21600000000000003</v>
      </c>
      <c r="J36" s="5">
        <f t="shared" si="1"/>
        <v>1.08</v>
      </c>
      <c r="K36" s="43">
        <f t="shared" si="2"/>
        <v>3.7800000000000002</v>
      </c>
    </row>
    <row r="37" spans="2:15" ht="15" customHeight="1" x14ac:dyDescent="0.25">
      <c r="B37" s="125">
        <v>6</v>
      </c>
      <c r="C37" s="128" t="s">
        <v>73</v>
      </c>
      <c r="D37" s="128"/>
      <c r="E37" s="128"/>
      <c r="F37" s="127" t="s">
        <v>72</v>
      </c>
      <c r="G37" s="5">
        <v>6.2</v>
      </c>
      <c r="H37" s="5">
        <f t="shared" si="0"/>
        <v>37.200000000000003</v>
      </c>
      <c r="I37" s="5">
        <v>2.4800000000000004</v>
      </c>
      <c r="J37" s="5">
        <f t="shared" si="1"/>
        <v>14.880000000000003</v>
      </c>
      <c r="K37" s="43">
        <f t="shared" si="2"/>
        <v>52.080000000000005</v>
      </c>
    </row>
    <row r="38" spans="2:15" ht="15" customHeight="1" x14ac:dyDescent="0.25">
      <c r="B38" s="125">
        <v>2</v>
      </c>
      <c r="C38" s="128" t="s">
        <v>85</v>
      </c>
      <c r="D38" s="128"/>
      <c r="E38" s="128"/>
      <c r="F38" s="127" t="s">
        <v>72</v>
      </c>
      <c r="G38" s="5">
        <v>6.2</v>
      </c>
      <c r="H38" s="5">
        <f t="shared" ref="H38" si="5">G38*B38</f>
        <v>12.4</v>
      </c>
      <c r="I38" s="5">
        <v>2.4800000000000004</v>
      </c>
      <c r="J38" s="5">
        <f t="shared" ref="J38" si="6">I38*B38</f>
        <v>4.9600000000000009</v>
      </c>
      <c r="K38" s="43">
        <f t="shared" ref="K38" si="7">SUM(J38+H38)</f>
        <v>17.36</v>
      </c>
    </row>
    <row r="39" spans="2:15" ht="15" customHeight="1" x14ac:dyDescent="0.25">
      <c r="B39" s="125">
        <v>1</v>
      </c>
      <c r="C39" s="128" t="s">
        <v>80</v>
      </c>
      <c r="D39" s="128"/>
      <c r="E39" s="128"/>
      <c r="F39" s="127" t="s">
        <v>72</v>
      </c>
      <c r="G39" s="5">
        <v>6.5</v>
      </c>
      <c r="H39" s="5">
        <f t="shared" ref="H39" si="8">G39*B39</f>
        <v>6.5</v>
      </c>
      <c r="I39" s="5">
        <v>2.48</v>
      </c>
      <c r="J39" s="5">
        <f t="shared" ref="J39" si="9">I39*B39</f>
        <v>2.48</v>
      </c>
      <c r="K39" s="43">
        <f t="shared" ref="K39" si="10">SUM(J39+H39)</f>
        <v>8.98</v>
      </c>
    </row>
    <row r="40" spans="2:15" ht="15" customHeight="1" x14ac:dyDescent="0.25">
      <c r="B40" s="125">
        <v>20</v>
      </c>
      <c r="C40" s="128" t="s">
        <v>74</v>
      </c>
      <c r="D40" s="128"/>
      <c r="E40" s="128"/>
      <c r="F40" s="127" t="s">
        <v>72</v>
      </c>
      <c r="G40" s="5">
        <v>2.65</v>
      </c>
      <c r="H40" s="5">
        <f t="shared" si="0"/>
        <v>53</v>
      </c>
      <c r="I40" s="5">
        <v>1.06</v>
      </c>
      <c r="J40" s="5">
        <f t="shared" si="1"/>
        <v>21.200000000000003</v>
      </c>
      <c r="K40" s="43">
        <f t="shared" si="2"/>
        <v>74.2</v>
      </c>
    </row>
    <row r="41" spans="2:15" ht="15" customHeight="1" x14ac:dyDescent="0.25">
      <c r="B41" s="42">
        <v>2</v>
      </c>
      <c r="C41" s="74" t="s">
        <v>78</v>
      </c>
      <c r="D41" s="74"/>
      <c r="E41" s="74"/>
      <c r="F41" s="50" t="s">
        <v>72</v>
      </c>
      <c r="G41" s="5">
        <v>19.399999999999999</v>
      </c>
      <c r="H41" s="5">
        <f t="shared" si="0"/>
        <v>38.799999999999997</v>
      </c>
      <c r="I41" s="5">
        <v>9.5</v>
      </c>
      <c r="J41" s="5">
        <f t="shared" si="1"/>
        <v>19</v>
      </c>
      <c r="K41" s="43">
        <f t="shared" si="2"/>
        <v>57.8</v>
      </c>
    </row>
    <row r="42" spans="2:15" ht="15" customHeight="1" x14ac:dyDescent="0.25">
      <c r="B42" s="42">
        <v>2</v>
      </c>
      <c r="C42" s="74" t="s">
        <v>79</v>
      </c>
      <c r="D42" s="74"/>
      <c r="E42" s="74"/>
      <c r="F42" s="50" t="s">
        <v>72</v>
      </c>
      <c r="G42" s="5">
        <v>19.399999999999999</v>
      </c>
      <c r="H42" s="5">
        <f t="shared" si="0"/>
        <v>38.799999999999997</v>
      </c>
      <c r="I42" s="5">
        <v>9.5</v>
      </c>
      <c r="J42" s="5">
        <f t="shared" si="1"/>
        <v>19</v>
      </c>
      <c r="K42" s="43">
        <f t="shared" si="2"/>
        <v>57.8</v>
      </c>
    </row>
    <row r="43" spans="2:15" ht="15" customHeight="1" x14ac:dyDescent="0.25">
      <c r="B43" s="49">
        <v>1</v>
      </c>
      <c r="C43" s="76" t="s">
        <v>53</v>
      </c>
      <c r="D43" s="76"/>
      <c r="E43" s="76"/>
      <c r="F43" s="50" t="s">
        <v>54</v>
      </c>
      <c r="G43" s="5">
        <v>0</v>
      </c>
      <c r="H43" s="5">
        <f t="shared" si="0"/>
        <v>0</v>
      </c>
      <c r="I43" s="5">
        <v>25</v>
      </c>
      <c r="J43" s="5">
        <f t="shared" si="1"/>
        <v>25</v>
      </c>
      <c r="K43" s="43">
        <f t="shared" si="2"/>
        <v>25</v>
      </c>
    </row>
    <row r="44" spans="2:15" ht="15" customHeight="1" thickBot="1" x14ac:dyDescent="0.3">
      <c r="B44" s="44">
        <v>1</v>
      </c>
      <c r="C44" s="75" t="s">
        <v>90</v>
      </c>
      <c r="D44" s="75"/>
      <c r="E44" s="75"/>
      <c r="F44" s="45" t="s">
        <v>54</v>
      </c>
      <c r="G44" s="46">
        <v>0</v>
      </c>
      <c r="H44" s="46">
        <f t="shared" ref="H44" si="11">G44*B44</f>
        <v>0</v>
      </c>
      <c r="I44" s="46">
        <v>100</v>
      </c>
      <c r="J44" s="46">
        <f t="shared" ref="J44" si="12">I44*B44</f>
        <v>100</v>
      </c>
      <c r="K44" s="47">
        <f t="shared" ref="K44" si="13">SUM(J44+H44)</f>
        <v>100</v>
      </c>
    </row>
    <row r="45" spans="2:15" s="8" customFormat="1" ht="18" customHeight="1" thickBot="1" x14ac:dyDescent="0.35">
      <c r="B45" s="6"/>
      <c r="C45" s="7"/>
      <c r="D45" s="7"/>
      <c r="E45" s="104" t="s">
        <v>20</v>
      </c>
      <c r="F45" s="118"/>
      <c r="G45" s="120">
        <f>SUM(H22:H44)</f>
        <v>1391.97</v>
      </c>
      <c r="H45" s="121"/>
      <c r="I45" s="120">
        <f>SUM(J22:J44)</f>
        <v>453.82800000000003</v>
      </c>
      <c r="J45" s="121"/>
      <c r="K45" s="122"/>
      <c r="N45" s="9"/>
      <c r="O45" s="9"/>
    </row>
    <row r="46" spans="2:15" s="36" customFormat="1" ht="18" thickBot="1" x14ac:dyDescent="0.35">
      <c r="B46" s="35"/>
      <c r="E46" s="104" t="s">
        <v>21</v>
      </c>
      <c r="F46" s="118"/>
      <c r="G46" s="105">
        <f>SUM(K19:K45)</f>
        <v>1845.7979999999998</v>
      </c>
      <c r="H46" s="106"/>
      <c r="I46" s="106"/>
      <c r="J46" s="106"/>
      <c r="K46" s="107"/>
      <c r="N46" s="37"/>
      <c r="O46" s="37"/>
    </row>
    <row r="47" spans="2:15" x14ac:dyDescent="0.25">
      <c r="H47" s="3"/>
      <c r="I47" s="3"/>
      <c r="J47" s="3"/>
    </row>
    <row r="48" spans="2:15" x14ac:dyDescent="0.25">
      <c r="H48" s="3"/>
      <c r="I48" s="3"/>
      <c r="J48" s="3"/>
    </row>
    <row r="49" spans="2:11" x14ac:dyDescent="0.25">
      <c r="B49" s="95" t="s">
        <v>22</v>
      </c>
      <c r="C49" s="96"/>
      <c r="D49" s="97"/>
      <c r="E49" s="97"/>
      <c r="F49" s="97"/>
      <c r="G49" s="97"/>
      <c r="H49" s="97"/>
      <c r="I49" s="97"/>
      <c r="J49" s="97"/>
      <c r="K49" s="97"/>
    </row>
    <row r="50" spans="2:11" x14ac:dyDescent="0.25">
      <c r="B50" s="95"/>
      <c r="C50" s="96"/>
      <c r="D50" s="97"/>
      <c r="E50" s="97"/>
      <c r="F50" s="97"/>
      <c r="G50" s="97"/>
      <c r="H50" s="97"/>
      <c r="I50" s="97"/>
      <c r="J50" s="97"/>
      <c r="K50" s="97"/>
    </row>
    <row r="51" spans="2:11" x14ac:dyDescent="0.25">
      <c r="H51" s="3"/>
      <c r="I51" s="3"/>
      <c r="J51" s="10"/>
    </row>
    <row r="52" spans="2:11" x14ac:dyDescent="0.25">
      <c r="H52" s="11"/>
    </row>
    <row r="53" spans="2:11" ht="15.75" customHeight="1" x14ac:dyDescent="0.25">
      <c r="B53" s="32" t="s">
        <v>46</v>
      </c>
      <c r="C53" s="33" t="s">
        <v>23</v>
      </c>
      <c r="D53" s="98" t="s">
        <v>24</v>
      </c>
      <c r="E53" s="99"/>
      <c r="F53" s="99"/>
      <c r="G53" s="99"/>
      <c r="H53" s="99"/>
      <c r="I53" s="99"/>
      <c r="J53" s="99"/>
      <c r="K53" s="100"/>
    </row>
    <row r="54" spans="2:11" x14ac:dyDescent="0.25">
      <c r="B54" s="31"/>
      <c r="C54" s="34" t="s">
        <v>25</v>
      </c>
      <c r="D54" s="101" t="s">
        <v>26</v>
      </c>
      <c r="E54" s="102"/>
      <c r="F54" s="102"/>
      <c r="G54" s="102"/>
      <c r="H54" s="102"/>
      <c r="I54" s="102"/>
      <c r="J54" s="102"/>
      <c r="K54" s="103"/>
    </row>
    <row r="55" spans="2:11" x14ac:dyDescent="0.25">
      <c r="B55" s="12"/>
      <c r="C55" s="13"/>
      <c r="D55" s="14"/>
      <c r="E55" s="14"/>
      <c r="F55" s="14"/>
      <c r="G55" s="14"/>
      <c r="H55" s="14"/>
      <c r="I55" s="14"/>
      <c r="J55" s="14"/>
      <c r="K55" s="14"/>
    </row>
    <row r="56" spans="2:11" x14ac:dyDescent="0.25">
      <c r="B56" s="12"/>
      <c r="C56" s="13"/>
      <c r="D56" s="14"/>
      <c r="E56" s="14"/>
      <c r="F56" s="14"/>
      <c r="G56" s="14"/>
      <c r="H56" s="14"/>
      <c r="I56" s="14"/>
      <c r="J56" s="14"/>
      <c r="K56" s="14"/>
    </row>
    <row r="57" spans="2:11" ht="15.75" thickBot="1" x14ac:dyDescent="0.3">
      <c r="B57" s="12"/>
      <c r="C57" s="13"/>
      <c r="D57" s="14"/>
      <c r="E57" s="14"/>
      <c r="F57" s="14"/>
      <c r="G57" s="14"/>
      <c r="H57" s="14"/>
      <c r="I57" s="14"/>
      <c r="J57" s="14"/>
      <c r="K57" s="14"/>
    </row>
    <row r="58" spans="2:11" x14ac:dyDescent="0.25">
      <c r="B58" s="108" t="s">
        <v>27</v>
      </c>
      <c r="C58" s="109"/>
      <c r="D58" s="109"/>
      <c r="E58" s="109"/>
      <c r="F58" s="15"/>
      <c r="G58" s="110" t="s">
        <v>28</v>
      </c>
      <c r="H58" s="110"/>
      <c r="I58" s="110"/>
      <c r="J58" s="110"/>
      <c r="K58" s="111"/>
    </row>
    <row r="59" spans="2:11" x14ac:dyDescent="0.25">
      <c r="B59" s="16"/>
      <c r="C59" s="17"/>
      <c r="D59" s="17"/>
      <c r="E59" s="17"/>
      <c r="F59" s="14"/>
      <c r="G59" s="14"/>
      <c r="H59" s="14"/>
      <c r="I59" s="14"/>
      <c r="J59" s="14"/>
      <c r="K59" s="18"/>
    </row>
    <row r="60" spans="2:11" x14ac:dyDescent="0.25">
      <c r="B60" s="19" t="s">
        <v>29</v>
      </c>
      <c r="C60" s="20" t="s">
        <v>108</v>
      </c>
      <c r="D60" s="21"/>
      <c r="E60" s="21"/>
      <c r="F60" s="14"/>
      <c r="G60" s="12" t="s">
        <v>29</v>
      </c>
      <c r="H60" s="22"/>
      <c r="I60" s="23"/>
      <c r="J60" s="23"/>
      <c r="K60" s="18"/>
    </row>
    <row r="61" spans="2:11" x14ac:dyDescent="0.25">
      <c r="B61" s="19"/>
      <c r="C61" s="13"/>
      <c r="D61" s="14"/>
      <c r="E61" s="14"/>
      <c r="F61" s="14"/>
      <c r="G61" s="14"/>
      <c r="H61" s="14"/>
      <c r="I61" s="14"/>
      <c r="J61" s="14"/>
      <c r="K61" s="18"/>
    </row>
    <row r="62" spans="2:11" ht="15.75" thickBot="1" x14ac:dyDescent="0.3">
      <c r="B62" s="24" t="s">
        <v>30</v>
      </c>
      <c r="C62" s="25"/>
      <c r="D62" s="26"/>
      <c r="E62" s="26"/>
      <c r="F62" s="26"/>
      <c r="G62" s="27" t="s">
        <v>30</v>
      </c>
      <c r="H62" s="26"/>
      <c r="I62" s="26"/>
      <c r="J62" s="26"/>
      <c r="K62" s="28"/>
    </row>
    <row r="63" spans="2:11" x14ac:dyDescent="0.25">
      <c r="B63" s="12"/>
      <c r="C63" s="13"/>
      <c r="D63" s="14"/>
      <c r="E63" s="14"/>
      <c r="F63" s="14"/>
      <c r="G63" s="14"/>
      <c r="H63" s="14"/>
      <c r="I63" s="14"/>
      <c r="J63" s="14"/>
      <c r="K63" s="14"/>
    </row>
    <row r="64" spans="2:11" x14ac:dyDescent="0.25">
      <c r="B64" s="12"/>
      <c r="C64" s="13"/>
      <c r="D64" s="14"/>
      <c r="E64" s="14"/>
      <c r="F64" s="14"/>
      <c r="G64" s="14"/>
      <c r="H64" s="14"/>
      <c r="I64" s="14"/>
      <c r="J64" s="14"/>
      <c r="K64" s="14"/>
    </row>
    <row r="65" spans="2:11" x14ac:dyDescent="0.25">
      <c r="B65" s="12"/>
      <c r="C65" s="13"/>
      <c r="D65" s="14"/>
      <c r="E65" s="14"/>
      <c r="F65" s="14"/>
      <c r="G65" s="14"/>
      <c r="H65" s="14"/>
      <c r="I65" s="14"/>
      <c r="J65" s="14"/>
      <c r="K65" s="14"/>
    </row>
    <row r="66" spans="2:11" ht="15.75" thickBot="1" x14ac:dyDescent="0.3">
      <c r="B66" s="29"/>
      <c r="C66" s="30"/>
      <c r="D66" s="30"/>
      <c r="E66" s="30"/>
      <c r="F66" s="30"/>
      <c r="G66" s="30"/>
      <c r="H66" s="30"/>
      <c r="I66" s="30"/>
      <c r="J66" s="30"/>
      <c r="K66" s="30"/>
    </row>
    <row r="67" spans="2:11" x14ac:dyDescent="0.25">
      <c r="B67" s="112" t="s">
        <v>31</v>
      </c>
      <c r="C67" s="112"/>
      <c r="D67" s="112"/>
      <c r="E67" s="113" t="s">
        <v>32</v>
      </c>
      <c r="F67" s="113"/>
      <c r="G67" s="113"/>
      <c r="H67" s="113"/>
    </row>
    <row r="68" spans="2:11" x14ac:dyDescent="0.25">
      <c r="B68" s="114" t="s">
        <v>33</v>
      </c>
      <c r="C68" s="114"/>
      <c r="D68" s="114"/>
      <c r="E68" s="114" t="s">
        <v>34</v>
      </c>
      <c r="F68" s="114"/>
      <c r="G68" s="114"/>
      <c r="H68" s="114"/>
      <c r="I68" s="114" t="s">
        <v>35</v>
      </c>
      <c r="J68" s="114"/>
      <c r="K68" s="114"/>
    </row>
    <row r="69" spans="2:11" x14ac:dyDescent="0.25">
      <c r="B69" s="115" t="s">
        <v>36</v>
      </c>
      <c r="C69" s="115"/>
      <c r="D69" s="115"/>
      <c r="E69" s="115" t="s">
        <v>37</v>
      </c>
      <c r="F69" s="115"/>
      <c r="G69" s="115"/>
      <c r="H69" s="115"/>
      <c r="I69" s="115" t="s">
        <v>38</v>
      </c>
      <c r="J69" s="115"/>
      <c r="K69" s="115"/>
    </row>
    <row r="70" spans="2:11" x14ac:dyDescent="0.25">
      <c r="B70" s="115" t="s">
        <v>39</v>
      </c>
      <c r="C70" s="115"/>
      <c r="D70" s="115"/>
      <c r="E70" s="115" t="s">
        <v>40</v>
      </c>
      <c r="F70" s="115"/>
      <c r="G70" s="115"/>
      <c r="H70" s="115"/>
      <c r="I70" s="115" t="s">
        <v>41</v>
      </c>
      <c r="J70" s="115"/>
      <c r="K70" s="115"/>
    </row>
    <row r="71" spans="2:11" x14ac:dyDescent="0.25">
      <c r="B71" s="115" t="s">
        <v>42</v>
      </c>
      <c r="C71" s="115"/>
      <c r="D71" s="115"/>
      <c r="E71" s="115" t="s">
        <v>43</v>
      </c>
      <c r="F71" s="115"/>
      <c r="G71" s="115"/>
      <c r="H71" s="115"/>
      <c r="I71" s="115" t="s">
        <v>44</v>
      </c>
      <c r="J71" s="115"/>
      <c r="K71" s="115"/>
    </row>
    <row r="72" spans="2:11" x14ac:dyDescent="0.25">
      <c r="B72" s="12"/>
      <c r="C72" s="13"/>
      <c r="D72" s="14"/>
      <c r="E72" s="14"/>
      <c r="F72" s="14"/>
      <c r="G72" s="14"/>
      <c r="H72" s="14"/>
      <c r="I72" s="14"/>
      <c r="J72" s="14"/>
      <c r="K72" s="14"/>
    </row>
  </sheetData>
  <mergeCells count="75">
    <mergeCell ref="C30:E30"/>
    <mergeCell ref="C31:E31"/>
    <mergeCell ref="C34:K34"/>
    <mergeCell ref="C39:E39"/>
    <mergeCell ref="C38:E38"/>
    <mergeCell ref="C28:E28"/>
    <mergeCell ref="C29:E29"/>
    <mergeCell ref="C32:E32"/>
    <mergeCell ref="C33:E33"/>
    <mergeCell ref="C37:E37"/>
    <mergeCell ref="C40:E40"/>
    <mergeCell ref="C41:E41"/>
    <mergeCell ref="C42:E42"/>
    <mergeCell ref="C23:E23"/>
    <mergeCell ref="C24:E24"/>
    <mergeCell ref="C25:E25"/>
    <mergeCell ref="C26:E26"/>
    <mergeCell ref="C27:E27"/>
    <mergeCell ref="B71:D71"/>
    <mergeCell ref="E71:H71"/>
    <mergeCell ref="I71:K71"/>
    <mergeCell ref="B69:D69"/>
    <mergeCell ref="E69:H69"/>
    <mergeCell ref="I69:K69"/>
    <mergeCell ref="B70:D70"/>
    <mergeCell ref="E70:H70"/>
    <mergeCell ref="I70:K70"/>
    <mergeCell ref="B58:E58"/>
    <mergeCell ref="G58:K58"/>
    <mergeCell ref="B67:D67"/>
    <mergeCell ref="E67:H67"/>
    <mergeCell ref="B68:D68"/>
    <mergeCell ref="E68:H68"/>
    <mergeCell ref="I68:K68"/>
    <mergeCell ref="D54:K54"/>
    <mergeCell ref="E45:F45"/>
    <mergeCell ref="G45:H45"/>
    <mergeCell ref="I45:J45"/>
    <mergeCell ref="E46:F46"/>
    <mergeCell ref="G46:K46"/>
    <mergeCell ref="B49:C49"/>
    <mergeCell ref="D49:K49"/>
    <mergeCell ref="B50:C50"/>
    <mergeCell ref="D50:K50"/>
    <mergeCell ref="D53:K53"/>
    <mergeCell ref="C21:K21"/>
    <mergeCell ref="C22:E22"/>
    <mergeCell ref="C44:E44"/>
    <mergeCell ref="C43:E43"/>
    <mergeCell ref="B13:C13"/>
    <mergeCell ref="D13:E13"/>
    <mergeCell ref="G13:K13"/>
    <mergeCell ref="B19:B20"/>
    <mergeCell ref="C19:E20"/>
    <mergeCell ref="F19:F20"/>
    <mergeCell ref="G19:H19"/>
    <mergeCell ref="I19:J19"/>
    <mergeCell ref="B14:K14"/>
    <mergeCell ref="B15:K15"/>
    <mergeCell ref="B16:K16"/>
    <mergeCell ref="B17:K17"/>
    <mergeCell ref="B18:K18"/>
    <mergeCell ref="K19:K20"/>
    <mergeCell ref="G2:K2"/>
    <mergeCell ref="G3:K3"/>
    <mergeCell ref="B8:E8"/>
    <mergeCell ref="G8:K8"/>
    <mergeCell ref="B9:E9"/>
    <mergeCell ref="G9:K9"/>
    <mergeCell ref="B10:E10"/>
    <mergeCell ref="G10:K10"/>
    <mergeCell ref="B12:C12"/>
    <mergeCell ref="D12:E12"/>
    <mergeCell ref="G12:K12"/>
    <mergeCell ref="B11:E11"/>
  </mergeCells>
  <hyperlinks>
    <hyperlink ref="E67" r:id="rId1"/>
  </hyperlinks>
  <pageMargins left="0" right="0" top="0.74803149606299213" bottom="0.74803149606299213" header="0.31496062992125984" footer="0.31496062992125984"/>
  <pageSetup paperSize="9" scale="64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8"/>
  <sheetViews>
    <sheetView workbookViewId="0">
      <selection activeCell="C46" sqref="C46"/>
    </sheetView>
  </sheetViews>
  <sheetFormatPr baseColWidth="10" defaultRowHeight="15" x14ac:dyDescent="0.25"/>
  <cols>
    <col min="1" max="1" width="6.7109375" customWidth="1"/>
    <col min="2" max="2" width="10" style="1" customWidth="1"/>
    <col min="4" max="4" width="12.85546875" customWidth="1"/>
    <col min="5" max="5" width="33.28515625" customWidth="1"/>
    <col min="6" max="6" width="16.7109375" customWidth="1"/>
    <col min="7" max="7" width="12.140625" bestFit="1" customWidth="1"/>
    <col min="8" max="8" width="13.5703125" bestFit="1" customWidth="1"/>
    <col min="9" max="9" width="13.42578125" customWidth="1"/>
    <col min="10" max="10" width="13.5703125" bestFit="1" customWidth="1"/>
    <col min="11" max="11" width="13.5703125" customWidth="1"/>
    <col min="14" max="15" width="11.42578125" style="3"/>
  </cols>
  <sheetData>
    <row r="2" spans="2:11" x14ac:dyDescent="0.25">
      <c r="G2" s="59" t="s">
        <v>0</v>
      </c>
      <c r="H2" s="59"/>
      <c r="I2" s="59"/>
      <c r="J2" s="59"/>
      <c r="K2" s="59"/>
    </row>
    <row r="3" spans="2:11" x14ac:dyDescent="0.25">
      <c r="G3" s="60" t="s">
        <v>1</v>
      </c>
      <c r="H3" s="60"/>
      <c r="I3" s="60"/>
      <c r="J3" s="60"/>
      <c r="K3" s="60"/>
    </row>
    <row r="7" spans="2:11" ht="15.75" thickBot="1" x14ac:dyDescent="0.3"/>
    <row r="8" spans="2:11" x14ac:dyDescent="0.25">
      <c r="B8" s="61" t="s">
        <v>2</v>
      </c>
      <c r="C8" s="62"/>
      <c r="D8" s="62"/>
      <c r="E8" s="63"/>
      <c r="G8" s="61" t="s">
        <v>3</v>
      </c>
      <c r="H8" s="62"/>
      <c r="I8" s="62"/>
      <c r="J8" s="62"/>
      <c r="K8" s="63"/>
    </row>
    <row r="9" spans="2:11" x14ac:dyDescent="0.25">
      <c r="B9" s="64" t="s">
        <v>49</v>
      </c>
      <c r="C9" s="65"/>
      <c r="D9" s="65"/>
      <c r="E9" s="66"/>
      <c r="G9" s="67" t="s">
        <v>64</v>
      </c>
      <c r="H9" s="68"/>
      <c r="I9" s="68"/>
      <c r="J9" s="68"/>
      <c r="K9" s="69"/>
    </row>
    <row r="10" spans="2:11" x14ac:dyDescent="0.25">
      <c r="B10" s="67" t="s">
        <v>4</v>
      </c>
      <c r="C10" s="68"/>
      <c r="D10" s="68"/>
      <c r="E10" s="69"/>
      <c r="G10" s="67" t="s">
        <v>45</v>
      </c>
      <c r="H10" s="68"/>
      <c r="I10" s="68"/>
      <c r="J10" s="68"/>
      <c r="K10" s="69"/>
    </row>
    <row r="11" spans="2:11" x14ac:dyDescent="0.25">
      <c r="B11" s="64" t="s">
        <v>50</v>
      </c>
      <c r="C11" s="70"/>
      <c r="D11" s="70"/>
      <c r="E11" s="71"/>
      <c r="G11" s="38" t="s">
        <v>5</v>
      </c>
      <c r="H11" s="2"/>
      <c r="I11" s="39" t="s">
        <v>93</v>
      </c>
      <c r="J11" s="2" t="s">
        <v>6</v>
      </c>
      <c r="K11" s="40" t="s">
        <v>93</v>
      </c>
    </row>
    <row r="12" spans="2:11" x14ac:dyDescent="0.25">
      <c r="B12" s="67" t="s">
        <v>7</v>
      </c>
      <c r="C12" s="68"/>
      <c r="D12" s="68" t="s">
        <v>8</v>
      </c>
      <c r="E12" s="69"/>
      <c r="G12" s="67" t="s">
        <v>9</v>
      </c>
      <c r="H12" s="68"/>
      <c r="I12" s="68"/>
      <c r="J12" s="68"/>
      <c r="K12" s="69"/>
    </row>
    <row r="13" spans="2:11" ht="15.75" thickBot="1" x14ac:dyDescent="0.3">
      <c r="B13" s="77" t="s">
        <v>10</v>
      </c>
      <c r="C13" s="78"/>
      <c r="D13" s="78"/>
      <c r="E13" s="79"/>
      <c r="G13" s="80"/>
      <c r="H13" s="81"/>
      <c r="I13" s="81"/>
      <c r="J13" s="81"/>
      <c r="K13" s="82"/>
    </row>
    <row r="14" spans="2:11" x14ac:dyDescent="0.25">
      <c r="B14" s="88"/>
      <c r="C14" s="88"/>
      <c r="D14" s="88"/>
      <c r="E14" s="88"/>
      <c r="F14" s="88"/>
      <c r="G14" s="88"/>
      <c r="H14" s="88"/>
      <c r="I14" s="88"/>
      <c r="J14" s="88"/>
      <c r="K14" s="88"/>
    </row>
    <row r="15" spans="2:11" ht="15.75" thickBot="1" x14ac:dyDescent="0.3">
      <c r="B15" s="88"/>
      <c r="C15" s="88"/>
      <c r="D15" s="88"/>
      <c r="E15" s="88"/>
      <c r="F15" s="88"/>
      <c r="G15" s="88"/>
      <c r="H15" s="88"/>
      <c r="I15" s="88"/>
      <c r="J15" s="88"/>
      <c r="K15" s="88"/>
    </row>
    <row r="16" spans="2:11" x14ac:dyDescent="0.25">
      <c r="B16" s="89" t="s">
        <v>11</v>
      </c>
      <c r="C16" s="90"/>
      <c r="D16" s="90"/>
      <c r="E16" s="90"/>
      <c r="F16" s="90"/>
      <c r="G16" s="90"/>
      <c r="H16" s="90"/>
      <c r="I16" s="90"/>
      <c r="J16" s="90"/>
      <c r="K16" s="91"/>
    </row>
    <row r="17" spans="2:15" ht="15.75" thickBot="1" x14ac:dyDescent="0.3">
      <c r="B17" s="92" t="s">
        <v>110</v>
      </c>
      <c r="C17" s="93"/>
      <c r="D17" s="93"/>
      <c r="E17" s="93"/>
      <c r="F17" s="93"/>
      <c r="G17" s="93"/>
      <c r="H17" s="93"/>
      <c r="I17" s="93"/>
      <c r="J17" s="93"/>
      <c r="K17" s="94"/>
    </row>
    <row r="18" spans="2:15" ht="15.75" thickBot="1" x14ac:dyDescent="0.3"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spans="2:15" ht="24" customHeight="1" x14ac:dyDescent="0.25">
      <c r="B19" s="83" t="s">
        <v>12</v>
      </c>
      <c r="C19" s="85" t="s">
        <v>13</v>
      </c>
      <c r="D19" s="85"/>
      <c r="E19" s="85"/>
      <c r="F19" s="85" t="s">
        <v>14</v>
      </c>
      <c r="G19" s="87" t="s">
        <v>15</v>
      </c>
      <c r="H19" s="87"/>
      <c r="I19" s="87" t="s">
        <v>16</v>
      </c>
      <c r="J19" s="87"/>
      <c r="K19" s="57" t="s">
        <v>17</v>
      </c>
    </row>
    <row r="20" spans="2:15" x14ac:dyDescent="0.25">
      <c r="B20" s="84"/>
      <c r="C20" s="86"/>
      <c r="D20" s="86"/>
      <c r="E20" s="86"/>
      <c r="F20" s="86"/>
      <c r="G20" s="41" t="s">
        <v>18</v>
      </c>
      <c r="H20" s="41" t="s">
        <v>19</v>
      </c>
      <c r="I20" s="41" t="s">
        <v>18</v>
      </c>
      <c r="J20" s="41" t="s">
        <v>19</v>
      </c>
      <c r="K20" s="58"/>
    </row>
    <row r="21" spans="2:15" x14ac:dyDescent="0.25">
      <c r="B21" s="117"/>
      <c r="C21" s="123" t="s">
        <v>75</v>
      </c>
      <c r="D21" s="123"/>
      <c r="E21" s="123"/>
      <c r="F21" s="123"/>
      <c r="G21" s="123"/>
      <c r="H21" s="123"/>
      <c r="I21" s="123"/>
      <c r="J21" s="123"/>
      <c r="K21" s="124"/>
    </row>
    <row r="22" spans="2:15" x14ac:dyDescent="0.25">
      <c r="B22" s="125">
        <v>6</v>
      </c>
      <c r="C22" s="126" t="s">
        <v>76</v>
      </c>
      <c r="D22" s="126"/>
      <c r="E22" s="126"/>
      <c r="F22" s="127" t="s">
        <v>72</v>
      </c>
      <c r="G22" s="5">
        <v>4.8899999999999997</v>
      </c>
      <c r="H22" s="5">
        <f>G22*B22</f>
        <v>29.339999999999996</v>
      </c>
      <c r="I22" s="5">
        <v>1.956</v>
      </c>
      <c r="J22" s="5">
        <f>I22*B22</f>
        <v>11.736000000000001</v>
      </c>
      <c r="K22" s="43">
        <f>SUM(J22+H22)</f>
        <v>41.075999999999993</v>
      </c>
    </row>
    <row r="23" spans="2:15" x14ac:dyDescent="0.25">
      <c r="B23" s="125">
        <v>6</v>
      </c>
      <c r="C23" s="126" t="s">
        <v>77</v>
      </c>
      <c r="D23" s="126"/>
      <c r="E23" s="126"/>
      <c r="F23" s="127" t="s">
        <v>72</v>
      </c>
      <c r="G23" s="5">
        <v>0.54</v>
      </c>
      <c r="H23" s="5">
        <f t="shared" ref="H23:H30" si="0">G23*B23</f>
        <v>3.24</v>
      </c>
      <c r="I23" s="5">
        <v>0.21600000000000003</v>
      </c>
      <c r="J23" s="5">
        <f t="shared" ref="J23:J30" si="1">I23*B23</f>
        <v>1.2960000000000003</v>
      </c>
      <c r="K23" s="43">
        <f t="shared" ref="K23:K30" si="2">SUM(J23+H23)</f>
        <v>4.5360000000000005</v>
      </c>
    </row>
    <row r="24" spans="2:15" x14ac:dyDescent="0.25">
      <c r="B24" s="125">
        <v>3</v>
      </c>
      <c r="C24" s="128" t="s">
        <v>73</v>
      </c>
      <c r="D24" s="128"/>
      <c r="E24" s="128"/>
      <c r="F24" s="127" t="s">
        <v>72</v>
      </c>
      <c r="G24" s="5">
        <v>6.2</v>
      </c>
      <c r="H24" s="5">
        <f t="shared" si="0"/>
        <v>18.600000000000001</v>
      </c>
      <c r="I24" s="5">
        <v>2.4800000000000004</v>
      </c>
      <c r="J24" s="5">
        <f t="shared" si="1"/>
        <v>7.4400000000000013</v>
      </c>
      <c r="K24" s="43">
        <f t="shared" si="2"/>
        <v>26.040000000000003</v>
      </c>
    </row>
    <row r="25" spans="2:15" ht="26.25" customHeight="1" x14ac:dyDescent="0.25">
      <c r="B25" s="116">
        <v>20</v>
      </c>
      <c r="C25" s="74" t="s">
        <v>86</v>
      </c>
      <c r="D25" s="74"/>
      <c r="E25" s="74"/>
      <c r="F25" s="50" t="s">
        <v>72</v>
      </c>
      <c r="G25" s="5">
        <v>6.5</v>
      </c>
      <c r="H25" s="5">
        <f t="shared" si="0"/>
        <v>130</v>
      </c>
      <c r="I25" s="5">
        <v>5</v>
      </c>
      <c r="J25" s="5">
        <f t="shared" si="1"/>
        <v>100</v>
      </c>
      <c r="K25" s="43">
        <f t="shared" si="2"/>
        <v>230</v>
      </c>
    </row>
    <row r="26" spans="2:15" x14ac:dyDescent="0.25">
      <c r="B26" s="42">
        <v>2</v>
      </c>
      <c r="C26" s="74" t="s">
        <v>87</v>
      </c>
      <c r="D26" s="74"/>
      <c r="E26" s="74"/>
      <c r="F26" s="50" t="s">
        <v>72</v>
      </c>
      <c r="G26" s="5">
        <v>4.5</v>
      </c>
      <c r="H26" s="5">
        <f t="shared" si="0"/>
        <v>9</v>
      </c>
      <c r="I26" s="5">
        <v>9.5</v>
      </c>
      <c r="J26" s="5">
        <f t="shared" si="1"/>
        <v>19</v>
      </c>
      <c r="K26" s="43">
        <f t="shared" si="2"/>
        <v>28</v>
      </c>
    </row>
    <row r="27" spans="2:15" x14ac:dyDescent="0.25">
      <c r="B27" s="42">
        <v>2</v>
      </c>
      <c r="C27" s="74" t="s">
        <v>79</v>
      </c>
      <c r="D27" s="74"/>
      <c r="E27" s="74"/>
      <c r="F27" s="50" t="s">
        <v>72</v>
      </c>
      <c r="G27" s="5">
        <v>19.399999999999999</v>
      </c>
      <c r="H27" s="5">
        <f t="shared" si="0"/>
        <v>38.799999999999997</v>
      </c>
      <c r="I27" s="5">
        <v>9.5</v>
      </c>
      <c r="J27" s="5">
        <f t="shared" si="1"/>
        <v>19</v>
      </c>
      <c r="K27" s="43">
        <f t="shared" si="2"/>
        <v>57.8</v>
      </c>
    </row>
    <row r="28" spans="2:15" ht="15" customHeight="1" x14ac:dyDescent="0.25">
      <c r="B28" s="42">
        <v>50</v>
      </c>
      <c r="C28" s="129" t="s">
        <v>88</v>
      </c>
      <c r="D28" s="129"/>
      <c r="E28" s="129"/>
      <c r="F28" s="50" t="s">
        <v>89</v>
      </c>
      <c r="G28" s="119">
        <v>0.89</v>
      </c>
      <c r="H28" s="5">
        <f t="shared" si="0"/>
        <v>44.5</v>
      </c>
      <c r="I28" s="119">
        <v>0.32</v>
      </c>
      <c r="J28" s="5">
        <f t="shared" si="1"/>
        <v>16</v>
      </c>
      <c r="K28" s="43">
        <f t="shared" si="2"/>
        <v>60.5</v>
      </c>
    </row>
    <row r="29" spans="2:15" ht="18" customHeight="1" x14ac:dyDescent="0.25">
      <c r="B29" s="49">
        <v>1</v>
      </c>
      <c r="C29" s="76" t="s">
        <v>53</v>
      </c>
      <c r="D29" s="76"/>
      <c r="E29" s="76"/>
      <c r="F29" s="50" t="s">
        <v>54</v>
      </c>
      <c r="G29" s="5">
        <v>15</v>
      </c>
      <c r="H29" s="5">
        <f t="shared" si="0"/>
        <v>15</v>
      </c>
      <c r="I29" s="5">
        <v>25</v>
      </c>
      <c r="J29" s="5">
        <f t="shared" si="1"/>
        <v>25</v>
      </c>
      <c r="K29" s="43">
        <f t="shared" si="2"/>
        <v>40</v>
      </c>
    </row>
    <row r="30" spans="2:15" ht="26.25" customHeight="1" thickBot="1" x14ac:dyDescent="0.3">
      <c r="B30" s="44">
        <v>1</v>
      </c>
      <c r="C30" s="75" t="s">
        <v>91</v>
      </c>
      <c r="D30" s="75"/>
      <c r="E30" s="75"/>
      <c r="F30" s="45" t="s">
        <v>54</v>
      </c>
      <c r="G30" s="46">
        <v>0</v>
      </c>
      <c r="H30" s="46">
        <f t="shared" si="0"/>
        <v>0</v>
      </c>
      <c r="I30" s="46">
        <v>100</v>
      </c>
      <c r="J30" s="46">
        <v>85</v>
      </c>
      <c r="K30" s="47">
        <f t="shared" si="2"/>
        <v>85</v>
      </c>
    </row>
    <row r="31" spans="2:15" s="8" customFormat="1" ht="18" customHeight="1" thickBot="1" x14ac:dyDescent="0.35">
      <c r="B31" s="6"/>
      <c r="C31" s="7"/>
      <c r="D31" s="7"/>
      <c r="E31" s="104" t="s">
        <v>20</v>
      </c>
      <c r="F31" s="118"/>
      <c r="G31" s="120">
        <f>SUM(H21:H30)</f>
        <v>288.48</v>
      </c>
      <c r="H31" s="121"/>
      <c r="I31" s="120">
        <f>SUM(J21:J30)</f>
        <v>284.47199999999998</v>
      </c>
      <c r="J31" s="121"/>
      <c r="K31" s="122"/>
      <c r="N31" s="9"/>
      <c r="O31" s="9"/>
    </row>
    <row r="32" spans="2:15" s="36" customFormat="1" ht="18" thickBot="1" x14ac:dyDescent="0.35">
      <c r="B32" s="35"/>
      <c r="E32" s="104" t="s">
        <v>21</v>
      </c>
      <c r="F32" s="118"/>
      <c r="G32" s="105">
        <f>SUM(K19:K31)</f>
        <v>572.952</v>
      </c>
      <c r="H32" s="106"/>
      <c r="I32" s="106"/>
      <c r="J32" s="106"/>
      <c r="K32" s="107"/>
      <c r="N32" s="37"/>
      <c r="O32" s="37"/>
    </row>
    <row r="33" spans="2:11" x14ac:dyDescent="0.25">
      <c r="H33" s="3"/>
      <c r="I33" s="3"/>
      <c r="J33" s="3"/>
    </row>
    <row r="34" spans="2:11" x14ac:dyDescent="0.25">
      <c r="H34" s="3"/>
      <c r="I34" s="3"/>
      <c r="J34" s="3"/>
    </row>
    <row r="35" spans="2:11" x14ac:dyDescent="0.25">
      <c r="B35" s="95" t="s">
        <v>22</v>
      </c>
      <c r="C35" s="96"/>
      <c r="D35" s="97"/>
      <c r="E35" s="97"/>
      <c r="F35" s="97"/>
      <c r="G35" s="97"/>
      <c r="H35" s="97"/>
      <c r="I35" s="97"/>
      <c r="J35" s="97"/>
      <c r="K35" s="97"/>
    </row>
    <row r="36" spans="2:11" x14ac:dyDescent="0.25">
      <c r="B36" s="95"/>
      <c r="C36" s="96"/>
      <c r="D36" s="97"/>
      <c r="E36" s="97"/>
      <c r="F36" s="97"/>
      <c r="G36" s="97"/>
      <c r="H36" s="97"/>
      <c r="I36" s="97"/>
      <c r="J36" s="97"/>
      <c r="K36" s="97"/>
    </row>
    <row r="37" spans="2:11" x14ac:dyDescent="0.25">
      <c r="H37" s="3"/>
      <c r="I37" s="3"/>
      <c r="J37" s="10"/>
    </row>
    <row r="38" spans="2:11" x14ac:dyDescent="0.25">
      <c r="H38" s="11"/>
    </row>
    <row r="39" spans="2:11" ht="15.75" customHeight="1" x14ac:dyDescent="0.25">
      <c r="B39" s="32" t="s">
        <v>46</v>
      </c>
      <c r="C39" s="33" t="s">
        <v>23</v>
      </c>
      <c r="D39" s="98" t="s">
        <v>24</v>
      </c>
      <c r="E39" s="99"/>
      <c r="F39" s="99"/>
      <c r="G39" s="99"/>
      <c r="H39" s="99"/>
      <c r="I39" s="99"/>
      <c r="J39" s="99"/>
      <c r="K39" s="100"/>
    </row>
    <row r="40" spans="2:11" x14ac:dyDescent="0.25">
      <c r="B40" s="31"/>
      <c r="C40" s="34" t="s">
        <v>25</v>
      </c>
      <c r="D40" s="101" t="s">
        <v>26</v>
      </c>
      <c r="E40" s="102"/>
      <c r="F40" s="102"/>
      <c r="G40" s="102"/>
      <c r="H40" s="102"/>
      <c r="I40" s="102"/>
      <c r="J40" s="102"/>
      <c r="K40" s="103"/>
    </row>
    <row r="41" spans="2:11" x14ac:dyDescent="0.25">
      <c r="B41" s="12"/>
      <c r="C41" s="51"/>
      <c r="D41" s="54"/>
      <c r="E41" s="54"/>
      <c r="F41" s="54"/>
      <c r="G41" s="54"/>
      <c r="H41" s="54"/>
      <c r="I41" s="54"/>
      <c r="J41" s="54"/>
      <c r="K41" s="54"/>
    </row>
    <row r="42" spans="2:11" x14ac:dyDescent="0.25">
      <c r="B42" s="12"/>
      <c r="C42" s="51"/>
      <c r="D42" s="54"/>
      <c r="E42" s="54"/>
      <c r="F42" s="54"/>
      <c r="G42" s="54"/>
      <c r="H42" s="54"/>
      <c r="I42" s="54"/>
      <c r="J42" s="54"/>
      <c r="K42" s="54"/>
    </row>
    <row r="43" spans="2:11" ht="15.75" thickBot="1" x14ac:dyDescent="0.3">
      <c r="B43" s="12"/>
      <c r="C43" s="51"/>
      <c r="D43" s="54"/>
      <c r="E43" s="54"/>
      <c r="F43" s="54"/>
      <c r="G43" s="54"/>
      <c r="H43" s="54"/>
      <c r="I43" s="54"/>
      <c r="J43" s="54"/>
      <c r="K43" s="54"/>
    </row>
    <row r="44" spans="2:11" x14ac:dyDescent="0.25">
      <c r="B44" s="108" t="s">
        <v>27</v>
      </c>
      <c r="C44" s="109"/>
      <c r="D44" s="109"/>
      <c r="E44" s="109"/>
      <c r="F44" s="15"/>
      <c r="G44" s="110" t="s">
        <v>28</v>
      </c>
      <c r="H44" s="110"/>
      <c r="I44" s="110"/>
      <c r="J44" s="110"/>
      <c r="K44" s="111"/>
    </row>
    <row r="45" spans="2:11" x14ac:dyDescent="0.25">
      <c r="B45" s="16"/>
      <c r="C45" s="17"/>
      <c r="D45" s="17"/>
      <c r="E45" s="17"/>
      <c r="F45" s="54"/>
      <c r="G45" s="54"/>
      <c r="H45" s="54"/>
      <c r="I45" s="54"/>
      <c r="J45" s="54"/>
      <c r="K45" s="18"/>
    </row>
    <row r="46" spans="2:11" x14ac:dyDescent="0.25">
      <c r="B46" s="19" t="s">
        <v>29</v>
      </c>
      <c r="C46" s="20" t="s">
        <v>108</v>
      </c>
      <c r="D46" s="21"/>
      <c r="E46" s="21"/>
      <c r="F46" s="54"/>
      <c r="G46" s="12" t="s">
        <v>29</v>
      </c>
      <c r="H46" s="22"/>
      <c r="I46" s="23"/>
      <c r="J46" s="23"/>
      <c r="K46" s="18"/>
    </row>
    <row r="47" spans="2:11" x14ac:dyDescent="0.25">
      <c r="B47" s="19"/>
      <c r="C47" s="51"/>
      <c r="D47" s="54"/>
      <c r="E47" s="54"/>
      <c r="F47" s="54"/>
      <c r="G47" s="54"/>
      <c r="H47" s="54"/>
      <c r="I47" s="54"/>
      <c r="J47" s="54"/>
      <c r="K47" s="18"/>
    </row>
    <row r="48" spans="2:11" ht="15.75" thickBot="1" x14ac:dyDescent="0.3">
      <c r="B48" s="24" t="s">
        <v>30</v>
      </c>
      <c r="C48" s="25"/>
      <c r="D48" s="26"/>
      <c r="E48" s="26"/>
      <c r="F48" s="26"/>
      <c r="G48" s="27" t="s">
        <v>30</v>
      </c>
      <c r="H48" s="26"/>
      <c r="I48" s="26"/>
      <c r="J48" s="26"/>
      <c r="K48" s="28"/>
    </row>
    <row r="49" spans="2:11" x14ac:dyDescent="0.25">
      <c r="B49" s="12"/>
      <c r="C49" s="51"/>
      <c r="D49" s="54"/>
      <c r="E49" s="54"/>
      <c r="F49" s="54"/>
      <c r="G49" s="54"/>
      <c r="H49" s="54"/>
      <c r="I49" s="54"/>
      <c r="J49" s="54"/>
      <c r="K49" s="54"/>
    </row>
    <row r="50" spans="2:11" x14ac:dyDescent="0.25">
      <c r="B50" s="12"/>
      <c r="C50" s="51"/>
      <c r="D50" s="54"/>
      <c r="E50" s="54"/>
      <c r="F50" s="54"/>
      <c r="G50" s="54"/>
      <c r="H50" s="54"/>
      <c r="I50" s="54"/>
      <c r="J50" s="54"/>
      <c r="K50" s="54"/>
    </row>
    <row r="51" spans="2:11" x14ac:dyDescent="0.25">
      <c r="B51" s="12"/>
      <c r="C51" s="51"/>
      <c r="D51" s="54"/>
      <c r="E51" s="54"/>
      <c r="F51" s="54"/>
      <c r="G51" s="54"/>
      <c r="H51" s="54"/>
      <c r="I51" s="54"/>
      <c r="J51" s="54"/>
      <c r="K51" s="54"/>
    </row>
    <row r="52" spans="2:11" ht="15.75" thickBot="1" x14ac:dyDescent="0.3">
      <c r="B52" s="29"/>
      <c r="C52" s="30"/>
      <c r="D52" s="30"/>
      <c r="E52" s="30"/>
      <c r="F52" s="30"/>
      <c r="G52" s="30"/>
      <c r="H52" s="30"/>
      <c r="I52" s="30"/>
      <c r="J52" s="30"/>
      <c r="K52" s="30"/>
    </row>
    <row r="53" spans="2:11" x14ac:dyDescent="0.25">
      <c r="B53" s="112" t="s">
        <v>31</v>
      </c>
      <c r="C53" s="112"/>
      <c r="D53" s="112"/>
      <c r="E53" s="113" t="s">
        <v>32</v>
      </c>
      <c r="F53" s="113"/>
      <c r="G53" s="113"/>
      <c r="H53" s="113"/>
    </row>
    <row r="54" spans="2:11" x14ac:dyDescent="0.25">
      <c r="B54" s="114" t="s">
        <v>33</v>
      </c>
      <c r="C54" s="114"/>
      <c r="D54" s="114"/>
      <c r="E54" s="114" t="s">
        <v>34</v>
      </c>
      <c r="F54" s="114"/>
      <c r="G54" s="114"/>
      <c r="H54" s="114"/>
      <c r="I54" s="114" t="s">
        <v>35</v>
      </c>
      <c r="J54" s="114"/>
      <c r="K54" s="114"/>
    </row>
    <row r="55" spans="2:11" x14ac:dyDescent="0.25">
      <c r="B55" s="115" t="s">
        <v>36</v>
      </c>
      <c r="C55" s="115"/>
      <c r="D55" s="115"/>
      <c r="E55" s="115" t="s">
        <v>37</v>
      </c>
      <c r="F55" s="115"/>
      <c r="G55" s="115"/>
      <c r="H55" s="115"/>
      <c r="I55" s="115" t="s">
        <v>38</v>
      </c>
      <c r="J55" s="115"/>
      <c r="K55" s="115"/>
    </row>
    <row r="56" spans="2:11" x14ac:dyDescent="0.25">
      <c r="B56" s="115" t="s">
        <v>39</v>
      </c>
      <c r="C56" s="115"/>
      <c r="D56" s="115"/>
      <c r="E56" s="115" t="s">
        <v>40</v>
      </c>
      <c r="F56" s="115"/>
      <c r="G56" s="115"/>
      <c r="H56" s="115"/>
      <c r="I56" s="115" t="s">
        <v>41</v>
      </c>
      <c r="J56" s="115"/>
      <c r="K56" s="115"/>
    </row>
    <row r="57" spans="2:11" x14ac:dyDescent="0.25">
      <c r="B57" s="115" t="s">
        <v>42</v>
      </c>
      <c r="C57" s="115"/>
      <c r="D57" s="115"/>
      <c r="E57" s="115" t="s">
        <v>43</v>
      </c>
      <c r="F57" s="115"/>
      <c r="G57" s="115"/>
      <c r="H57" s="115"/>
      <c r="I57" s="115" t="s">
        <v>44</v>
      </c>
      <c r="J57" s="115"/>
      <c r="K57" s="115"/>
    </row>
    <row r="58" spans="2:11" x14ac:dyDescent="0.25">
      <c r="B58" s="12"/>
      <c r="C58" s="51"/>
      <c r="D58" s="54"/>
      <c r="E58" s="54"/>
      <c r="F58" s="54"/>
      <c r="G58" s="54"/>
      <c r="H58" s="54"/>
      <c r="I58" s="54"/>
      <c r="J58" s="54"/>
      <c r="K58" s="54"/>
    </row>
  </sheetData>
  <mergeCells count="61">
    <mergeCell ref="B57:D57"/>
    <mergeCell ref="E57:H57"/>
    <mergeCell ref="I57:K57"/>
    <mergeCell ref="B55:D55"/>
    <mergeCell ref="E55:H55"/>
    <mergeCell ref="I55:K55"/>
    <mergeCell ref="B56:D56"/>
    <mergeCell ref="E56:H56"/>
    <mergeCell ref="I56:K56"/>
    <mergeCell ref="B44:E44"/>
    <mergeCell ref="G44:K44"/>
    <mergeCell ref="B53:D53"/>
    <mergeCell ref="E53:H53"/>
    <mergeCell ref="B54:D54"/>
    <mergeCell ref="E54:H54"/>
    <mergeCell ref="I54:K54"/>
    <mergeCell ref="B35:C35"/>
    <mergeCell ref="D35:K35"/>
    <mergeCell ref="B36:C36"/>
    <mergeCell ref="D36:K36"/>
    <mergeCell ref="D39:K39"/>
    <mergeCell ref="D40:K40"/>
    <mergeCell ref="C29:E29"/>
    <mergeCell ref="C30:E30"/>
    <mergeCell ref="E31:F31"/>
    <mergeCell ref="G31:H31"/>
    <mergeCell ref="I31:J31"/>
    <mergeCell ref="E32:F32"/>
    <mergeCell ref="G32:K32"/>
    <mergeCell ref="C24:E24"/>
    <mergeCell ref="C25:E25"/>
    <mergeCell ref="C26:E26"/>
    <mergeCell ref="C27:E27"/>
    <mergeCell ref="C28:E28"/>
    <mergeCell ref="C21:K21"/>
    <mergeCell ref="B17:K17"/>
    <mergeCell ref="B18:K18"/>
    <mergeCell ref="B19:B20"/>
    <mergeCell ref="C19:E20"/>
    <mergeCell ref="F19:F20"/>
    <mergeCell ref="G19:H19"/>
    <mergeCell ref="I19:J19"/>
    <mergeCell ref="K19:K20"/>
    <mergeCell ref="B13:C13"/>
    <mergeCell ref="D13:E13"/>
    <mergeCell ref="G13:K13"/>
    <mergeCell ref="B14:K14"/>
    <mergeCell ref="B15:K15"/>
    <mergeCell ref="B16:K16"/>
    <mergeCell ref="B10:E10"/>
    <mergeCell ref="G10:K10"/>
    <mergeCell ref="B11:E11"/>
    <mergeCell ref="B12:C12"/>
    <mergeCell ref="D12:E12"/>
    <mergeCell ref="G12:K12"/>
    <mergeCell ref="G2:K2"/>
    <mergeCell ref="G3:K3"/>
    <mergeCell ref="B8:E8"/>
    <mergeCell ref="G8:K8"/>
    <mergeCell ref="B9:E9"/>
    <mergeCell ref="G9:K9"/>
  </mergeCells>
  <hyperlinks>
    <hyperlink ref="E53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57"/>
  <sheetViews>
    <sheetView workbookViewId="0">
      <selection activeCell="F48" sqref="F48"/>
    </sheetView>
  </sheetViews>
  <sheetFormatPr baseColWidth="10" defaultRowHeight="15" x14ac:dyDescent="0.25"/>
  <cols>
    <col min="1" max="1" width="6.7109375" customWidth="1"/>
    <col min="2" max="2" width="10" style="1" customWidth="1"/>
    <col min="4" max="4" width="12.85546875" customWidth="1"/>
    <col min="5" max="5" width="33.28515625" customWidth="1"/>
    <col min="6" max="6" width="16.7109375" customWidth="1"/>
    <col min="7" max="7" width="12.140625" bestFit="1" customWidth="1"/>
    <col min="8" max="8" width="13.5703125" bestFit="1" customWidth="1"/>
    <col min="9" max="9" width="13.42578125" customWidth="1"/>
    <col min="10" max="10" width="13.5703125" bestFit="1" customWidth="1"/>
    <col min="11" max="11" width="13.5703125" customWidth="1"/>
    <col min="14" max="15" width="11.42578125" style="3"/>
  </cols>
  <sheetData>
    <row r="2" spans="2:11" x14ac:dyDescent="0.25">
      <c r="G2" s="59" t="s">
        <v>0</v>
      </c>
      <c r="H2" s="59"/>
      <c r="I2" s="59"/>
      <c r="J2" s="59"/>
      <c r="K2" s="59"/>
    </row>
    <row r="3" spans="2:11" x14ac:dyDescent="0.25">
      <c r="G3" s="60" t="s">
        <v>1</v>
      </c>
      <c r="H3" s="60"/>
      <c r="I3" s="60"/>
      <c r="J3" s="60"/>
      <c r="K3" s="60"/>
    </row>
    <row r="7" spans="2:11" ht="15.75" thickBot="1" x14ac:dyDescent="0.3"/>
    <row r="8" spans="2:11" x14ac:dyDescent="0.25">
      <c r="B8" s="61" t="s">
        <v>2</v>
      </c>
      <c r="C8" s="62"/>
      <c r="D8" s="62"/>
      <c r="E8" s="63"/>
      <c r="G8" s="61" t="s">
        <v>3</v>
      </c>
      <c r="H8" s="62"/>
      <c r="I8" s="62"/>
      <c r="J8" s="62"/>
      <c r="K8" s="63"/>
    </row>
    <row r="9" spans="2:11" x14ac:dyDescent="0.25">
      <c r="B9" s="64" t="s">
        <v>49</v>
      </c>
      <c r="C9" s="65"/>
      <c r="D9" s="65"/>
      <c r="E9" s="66"/>
      <c r="G9" s="67" t="s">
        <v>64</v>
      </c>
      <c r="H9" s="68"/>
      <c r="I9" s="68"/>
      <c r="J9" s="68"/>
      <c r="K9" s="69"/>
    </row>
    <row r="10" spans="2:11" x14ac:dyDescent="0.25">
      <c r="B10" s="67" t="s">
        <v>4</v>
      </c>
      <c r="C10" s="68"/>
      <c r="D10" s="68"/>
      <c r="E10" s="69"/>
      <c r="G10" s="67" t="s">
        <v>45</v>
      </c>
      <c r="H10" s="68"/>
      <c r="I10" s="68"/>
      <c r="J10" s="68"/>
      <c r="K10" s="69"/>
    </row>
    <row r="11" spans="2:11" x14ac:dyDescent="0.25">
      <c r="B11" s="64" t="s">
        <v>50</v>
      </c>
      <c r="C11" s="70"/>
      <c r="D11" s="70"/>
      <c r="E11" s="71"/>
      <c r="G11" s="38" t="s">
        <v>5</v>
      </c>
      <c r="H11" s="2"/>
      <c r="I11" s="39" t="s">
        <v>48</v>
      </c>
      <c r="J11" s="2" t="s">
        <v>6</v>
      </c>
      <c r="K11" s="40" t="s">
        <v>63</v>
      </c>
    </row>
    <row r="12" spans="2:11" x14ac:dyDescent="0.25">
      <c r="B12" s="67" t="s">
        <v>7</v>
      </c>
      <c r="C12" s="68"/>
      <c r="D12" s="68" t="s">
        <v>8</v>
      </c>
      <c r="E12" s="69"/>
      <c r="G12" s="67" t="s">
        <v>9</v>
      </c>
      <c r="H12" s="68"/>
      <c r="I12" s="68"/>
      <c r="J12" s="68"/>
      <c r="K12" s="69"/>
    </row>
    <row r="13" spans="2:11" ht="15.75" thickBot="1" x14ac:dyDescent="0.3">
      <c r="B13" s="77" t="s">
        <v>10</v>
      </c>
      <c r="C13" s="78"/>
      <c r="D13" s="78"/>
      <c r="E13" s="79"/>
      <c r="G13" s="80"/>
      <c r="H13" s="81"/>
      <c r="I13" s="81"/>
      <c r="J13" s="81"/>
      <c r="K13" s="82"/>
    </row>
    <row r="14" spans="2:11" x14ac:dyDescent="0.25">
      <c r="B14" s="88"/>
      <c r="C14" s="88"/>
      <c r="D14" s="88"/>
      <c r="E14" s="88"/>
      <c r="F14" s="88"/>
      <c r="G14" s="88"/>
      <c r="H14" s="88"/>
      <c r="I14" s="88"/>
      <c r="J14" s="88"/>
      <c r="K14" s="88"/>
    </row>
    <row r="15" spans="2:11" ht="15.75" thickBot="1" x14ac:dyDescent="0.3">
      <c r="B15" s="88"/>
      <c r="C15" s="88"/>
      <c r="D15" s="88"/>
      <c r="E15" s="88"/>
      <c r="F15" s="88"/>
      <c r="G15" s="88"/>
      <c r="H15" s="88"/>
      <c r="I15" s="88"/>
      <c r="J15" s="88"/>
      <c r="K15" s="88"/>
    </row>
    <row r="16" spans="2:11" x14ac:dyDescent="0.25">
      <c r="B16" s="89" t="s">
        <v>11</v>
      </c>
      <c r="C16" s="90"/>
      <c r="D16" s="90"/>
      <c r="E16" s="90"/>
      <c r="F16" s="90"/>
      <c r="G16" s="90"/>
      <c r="H16" s="90"/>
      <c r="I16" s="90"/>
      <c r="J16" s="90"/>
      <c r="K16" s="91"/>
    </row>
    <row r="17" spans="2:15" ht="15.75" thickBot="1" x14ac:dyDescent="0.3">
      <c r="B17" s="92" t="s">
        <v>92</v>
      </c>
      <c r="C17" s="93"/>
      <c r="D17" s="93"/>
      <c r="E17" s="93"/>
      <c r="F17" s="93"/>
      <c r="G17" s="93"/>
      <c r="H17" s="93"/>
      <c r="I17" s="93"/>
      <c r="J17" s="93"/>
      <c r="K17" s="94"/>
    </row>
    <row r="18" spans="2:15" ht="15.75" thickBot="1" x14ac:dyDescent="0.3"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spans="2:15" ht="24" customHeight="1" x14ac:dyDescent="0.25">
      <c r="B19" s="83" t="s">
        <v>12</v>
      </c>
      <c r="C19" s="85" t="s">
        <v>13</v>
      </c>
      <c r="D19" s="85"/>
      <c r="E19" s="85"/>
      <c r="F19" s="85" t="s">
        <v>14</v>
      </c>
      <c r="G19" s="87" t="s">
        <v>15</v>
      </c>
      <c r="H19" s="87"/>
      <c r="I19" s="87" t="s">
        <v>16</v>
      </c>
      <c r="J19" s="87"/>
      <c r="K19" s="57" t="s">
        <v>17</v>
      </c>
    </row>
    <row r="20" spans="2:15" x14ac:dyDescent="0.25">
      <c r="B20" s="84"/>
      <c r="C20" s="86"/>
      <c r="D20" s="86"/>
      <c r="E20" s="86"/>
      <c r="F20" s="86"/>
      <c r="G20" s="41" t="s">
        <v>18</v>
      </c>
      <c r="H20" s="41" t="s">
        <v>19</v>
      </c>
      <c r="I20" s="41" t="s">
        <v>18</v>
      </c>
      <c r="J20" s="41" t="s">
        <v>19</v>
      </c>
      <c r="K20" s="58"/>
    </row>
    <row r="21" spans="2:15" ht="15" customHeight="1" x14ac:dyDescent="0.25">
      <c r="B21" s="48"/>
      <c r="C21" s="72" t="s">
        <v>47</v>
      </c>
      <c r="D21" s="72"/>
      <c r="E21" s="72"/>
      <c r="F21" s="72"/>
      <c r="G21" s="72"/>
      <c r="H21" s="72"/>
      <c r="I21" s="72"/>
      <c r="J21" s="72"/>
      <c r="K21" s="73"/>
    </row>
    <row r="22" spans="2:15" ht="15" customHeight="1" x14ac:dyDescent="0.25">
      <c r="B22" s="42">
        <v>1</v>
      </c>
      <c r="C22" s="74" t="s">
        <v>51</v>
      </c>
      <c r="D22" s="74"/>
      <c r="E22" s="74"/>
      <c r="F22" s="4" t="s">
        <v>52</v>
      </c>
      <c r="G22" s="5">
        <v>854</v>
      </c>
      <c r="H22" s="5">
        <f>G22*B22</f>
        <v>854</v>
      </c>
      <c r="I22" s="5">
        <v>48</v>
      </c>
      <c r="J22" s="5">
        <f>I22*B22</f>
        <v>48</v>
      </c>
      <c r="K22" s="43">
        <f>SUM(J22+H22)</f>
        <v>902</v>
      </c>
    </row>
    <row r="23" spans="2:15" ht="15" customHeight="1" x14ac:dyDescent="0.25">
      <c r="B23" s="130">
        <v>1</v>
      </c>
      <c r="C23" s="131" t="s">
        <v>94</v>
      </c>
      <c r="D23" s="131"/>
      <c r="E23" s="131"/>
      <c r="F23" s="132" t="s">
        <v>95</v>
      </c>
      <c r="G23" s="133">
        <v>148</v>
      </c>
      <c r="H23" s="5">
        <f t="shared" ref="H23:H29" si="0">G23*B23</f>
        <v>148</v>
      </c>
      <c r="I23" s="134">
        <v>0</v>
      </c>
      <c r="J23" s="5">
        <f t="shared" ref="J23:J29" si="1">I23*B23</f>
        <v>0</v>
      </c>
      <c r="K23" s="43">
        <f t="shared" ref="K23:K27" si="2">SUM(J23+H23)</f>
        <v>148</v>
      </c>
    </row>
    <row r="24" spans="2:15" ht="15" customHeight="1" x14ac:dyDescent="0.25">
      <c r="B24" s="42">
        <v>10</v>
      </c>
      <c r="C24" s="129" t="s">
        <v>88</v>
      </c>
      <c r="D24" s="129"/>
      <c r="E24" s="129"/>
      <c r="F24" s="50" t="s">
        <v>89</v>
      </c>
      <c r="G24" s="119">
        <v>0.89</v>
      </c>
      <c r="H24" s="5">
        <f t="shared" si="0"/>
        <v>8.9</v>
      </c>
      <c r="I24" s="119">
        <v>0.45</v>
      </c>
      <c r="J24" s="5">
        <f t="shared" si="1"/>
        <v>4.5</v>
      </c>
      <c r="K24" s="43">
        <f t="shared" si="2"/>
        <v>13.4</v>
      </c>
    </row>
    <row r="25" spans="2:15" ht="15" customHeight="1" x14ac:dyDescent="0.25">
      <c r="B25" s="130">
        <v>5</v>
      </c>
      <c r="C25" s="135" t="s">
        <v>96</v>
      </c>
      <c r="D25" s="135"/>
      <c r="E25" s="135"/>
      <c r="F25" s="136" t="s">
        <v>97</v>
      </c>
      <c r="G25" s="134">
        <v>0.9</v>
      </c>
      <c r="H25" s="5">
        <f t="shared" si="0"/>
        <v>4.5</v>
      </c>
      <c r="I25" s="119">
        <v>0.45</v>
      </c>
      <c r="J25" s="5">
        <f t="shared" si="1"/>
        <v>2.25</v>
      </c>
      <c r="K25" s="43">
        <f t="shared" si="2"/>
        <v>6.75</v>
      </c>
    </row>
    <row r="26" spans="2:15" ht="15" customHeight="1" x14ac:dyDescent="0.25">
      <c r="B26" s="42">
        <v>5</v>
      </c>
      <c r="C26" s="74" t="s">
        <v>98</v>
      </c>
      <c r="D26" s="74"/>
      <c r="E26" s="74"/>
      <c r="F26" s="4" t="s">
        <v>99</v>
      </c>
      <c r="G26" s="137">
        <v>7.3</v>
      </c>
      <c r="H26" s="5">
        <f t="shared" si="0"/>
        <v>36.5</v>
      </c>
      <c r="I26" s="5">
        <v>2.8</v>
      </c>
      <c r="J26" s="5">
        <f t="shared" si="1"/>
        <v>14</v>
      </c>
      <c r="K26" s="43">
        <f t="shared" si="2"/>
        <v>50.5</v>
      </c>
    </row>
    <row r="27" spans="2:15" ht="15" customHeight="1" x14ac:dyDescent="0.25">
      <c r="B27" s="42">
        <v>10</v>
      </c>
      <c r="C27" s="74" t="s">
        <v>100</v>
      </c>
      <c r="D27" s="74"/>
      <c r="E27" s="74"/>
      <c r="F27" s="4" t="s">
        <v>72</v>
      </c>
      <c r="G27" s="137">
        <v>2.5</v>
      </c>
      <c r="H27" s="5">
        <f t="shared" si="0"/>
        <v>25</v>
      </c>
      <c r="I27" s="5">
        <v>1.5</v>
      </c>
      <c r="J27" s="5">
        <f t="shared" si="1"/>
        <v>15</v>
      </c>
      <c r="K27" s="43">
        <f t="shared" si="2"/>
        <v>40</v>
      </c>
    </row>
    <row r="28" spans="2:15" ht="15" customHeight="1" x14ac:dyDescent="0.25">
      <c r="B28" s="49">
        <v>1</v>
      </c>
      <c r="C28" s="76" t="s">
        <v>53</v>
      </c>
      <c r="D28" s="76"/>
      <c r="E28" s="76"/>
      <c r="F28" s="50" t="s">
        <v>54</v>
      </c>
      <c r="G28" s="5">
        <v>15</v>
      </c>
      <c r="H28" s="5">
        <f t="shared" si="0"/>
        <v>15</v>
      </c>
      <c r="I28" s="5">
        <v>25</v>
      </c>
      <c r="J28" s="5">
        <f t="shared" si="1"/>
        <v>25</v>
      </c>
      <c r="K28" s="43">
        <f t="shared" ref="K28:K29" si="3">SUM(J28+H28)</f>
        <v>40</v>
      </c>
    </row>
    <row r="29" spans="2:15" ht="15" customHeight="1" thickBot="1" x14ac:dyDescent="0.3">
      <c r="B29" s="44">
        <v>1</v>
      </c>
      <c r="C29" s="75" t="s">
        <v>101</v>
      </c>
      <c r="D29" s="75"/>
      <c r="E29" s="75"/>
      <c r="F29" s="45" t="s">
        <v>54</v>
      </c>
      <c r="G29" s="46">
        <v>0</v>
      </c>
      <c r="H29" s="46">
        <f t="shared" si="0"/>
        <v>0</v>
      </c>
      <c r="I29" s="46">
        <v>100</v>
      </c>
      <c r="J29" s="46">
        <f t="shared" si="1"/>
        <v>100</v>
      </c>
      <c r="K29" s="47">
        <f t="shared" si="3"/>
        <v>100</v>
      </c>
    </row>
    <row r="30" spans="2:15" s="8" customFormat="1" ht="18" customHeight="1" thickBot="1" x14ac:dyDescent="0.35">
      <c r="B30" s="6"/>
      <c r="C30" s="7"/>
      <c r="D30" s="7"/>
      <c r="E30" s="104" t="s">
        <v>20</v>
      </c>
      <c r="F30" s="118"/>
      <c r="G30" s="120">
        <f>SUM(H22:H29)</f>
        <v>1091.9000000000001</v>
      </c>
      <c r="H30" s="121"/>
      <c r="I30" s="120">
        <f>SUM(J22:J29)</f>
        <v>208.75</v>
      </c>
      <c r="J30" s="121"/>
      <c r="K30" s="122"/>
      <c r="N30" s="9"/>
      <c r="O30" s="9"/>
    </row>
    <row r="31" spans="2:15" s="36" customFormat="1" ht="18" thickBot="1" x14ac:dyDescent="0.35">
      <c r="B31" s="35"/>
      <c r="E31" s="104" t="s">
        <v>21</v>
      </c>
      <c r="F31" s="118"/>
      <c r="G31" s="105">
        <f>SUM(K19:K30)</f>
        <v>1300.6500000000001</v>
      </c>
      <c r="H31" s="106"/>
      <c r="I31" s="106"/>
      <c r="J31" s="106"/>
      <c r="K31" s="107"/>
      <c r="N31" s="37"/>
      <c r="O31" s="37"/>
    </row>
    <row r="32" spans="2:15" x14ac:dyDescent="0.25">
      <c r="H32" s="3"/>
      <c r="I32" s="3"/>
      <c r="J32" s="3"/>
    </row>
    <row r="33" spans="2:11" x14ac:dyDescent="0.25">
      <c r="H33" s="3"/>
      <c r="I33" s="3"/>
      <c r="J33" s="3"/>
    </row>
    <row r="34" spans="2:11" x14ac:dyDescent="0.25">
      <c r="B34" s="95" t="s">
        <v>22</v>
      </c>
      <c r="C34" s="96"/>
      <c r="D34" s="97"/>
      <c r="E34" s="97"/>
      <c r="F34" s="97"/>
      <c r="G34" s="97"/>
      <c r="H34" s="97"/>
      <c r="I34" s="97"/>
      <c r="J34" s="97"/>
      <c r="K34" s="97"/>
    </row>
    <row r="35" spans="2:11" x14ac:dyDescent="0.25">
      <c r="B35" s="95"/>
      <c r="C35" s="96"/>
      <c r="D35" s="97"/>
      <c r="E35" s="97"/>
      <c r="F35" s="97"/>
      <c r="G35" s="97"/>
      <c r="H35" s="97"/>
      <c r="I35" s="97"/>
      <c r="J35" s="97"/>
      <c r="K35" s="97"/>
    </row>
    <row r="36" spans="2:11" x14ac:dyDescent="0.25">
      <c r="H36" s="3"/>
      <c r="I36" s="3"/>
      <c r="J36" s="10"/>
    </row>
    <row r="37" spans="2:11" x14ac:dyDescent="0.25">
      <c r="H37" s="11"/>
    </row>
    <row r="38" spans="2:11" ht="15.75" customHeight="1" x14ac:dyDescent="0.25">
      <c r="B38" s="32" t="s">
        <v>46</v>
      </c>
      <c r="C38" s="33" t="s">
        <v>23</v>
      </c>
      <c r="D38" s="98" t="s">
        <v>24</v>
      </c>
      <c r="E38" s="99"/>
      <c r="F38" s="99"/>
      <c r="G38" s="99"/>
      <c r="H38" s="99"/>
      <c r="I38" s="99"/>
      <c r="J38" s="99"/>
      <c r="K38" s="100"/>
    </row>
    <row r="39" spans="2:11" x14ac:dyDescent="0.25">
      <c r="B39" s="31"/>
      <c r="C39" s="34" t="s">
        <v>25</v>
      </c>
      <c r="D39" s="101" t="s">
        <v>26</v>
      </c>
      <c r="E39" s="102"/>
      <c r="F39" s="102"/>
      <c r="G39" s="102"/>
      <c r="H39" s="102"/>
      <c r="I39" s="102"/>
      <c r="J39" s="102"/>
      <c r="K39" s="103"/>
    </row>
    <row r="40" spans="2:11" x14ac:dyDescent="0.25">
      <c r="B40" s="12"/>
      <c r="C40" s="51"/>
      <c r="D40" s="54"/>
      <c r="E40" s="54"/>
      <c r="F40" s="54"/>
      <c r="G40" s="54"/>
      <c r="H40" s="54"/>
      <c r="I40" s="54"/>
      <c r="J40" s="54"/>
      <c r="K40" s="54"/>
    </row>
    <row r="41" spans="2:11" x14ac:dyDescent="0.25">
      <c r="B41" s="12"/>
      <c r="C41" s="51"/>
      <c r="D41" s="54"/>
      <c r="E41" s="54"/>
      <c r="F41" s="54"/>
      <c r="G41" s="54"/>
      <c r="H41" s="54"/>
      <c r="I41" s="54"/>
      <c r="J41" s="54"/>
      <c r="K41" s="54"/>
    </row>
    <row r="42" spans="2:11" ht="15.75" thickBot="1" x14ac:dyDescent="0.3">
      <c r="B42" s="12"/>
      <c r="C42" s="51"/>
      <c r="D42" s="54"/>
      <c r="E42" s="54"/>
      <c r="F42" s="54"/>
      <c r="G42" s="54"/>
      <c r="H42" s="54"/>
      <c r="I42" s="54"/>
      <c r="J42" s="54"/>
      <c r="K42" s="54"/>
    </row>
    <row r="43" spans="2:11" x14ac:dyDescent="0.25">
      <c r="B43" s="108" t="s">
        <v>27</v>
      </c>
      <c r="C43" s="109"/>
      <c r="D43" s="109"/>
      <c r="E43" s="109"/>
      <c r="F43" s="15"/>
      <c r="G43" s="110" t="s">
        <v>28</v>
      </c>
      <c r="H43" s="110"/>
      <c r="I43" s="110"/>
      <c r="J43" s="110"/>
      <c r="K43" s="111"/>
    </row>
    <row r="44" spans="2:11" x14ac:dyDescent="0.25">
      <c r="B44" s="16"/>
      <c r="C44" s="17"/>
      <c r="D44" s="17"/>
      <c r="E44" s="17"/>
      <c r="F44" s="54"/>
      <c r="G44" s="54"/>
      <c r="H44" s="54"/>
      <c r="I44" s="54"/>
      <c r="J44" s="54"/>
      <c r="K44" s="18"/>
    </row>
    <row r="45" spans="2:11" x14ac:dyDescent="0.25">
      <c r="B45" s="19" t="s">
        <v>29</v>
      </c>
      <c r="C45" s="20" t="s">
        <v>108</v>
      </c>
      <c r="D45" s="21"/>
      <c r="E45" s="21"/>
      <c r="F45" s="54"/>
      <c r="G45" s="12" t="s">
        <v>29</v>
      </c>
      <c r="H45" s="22"/>
      <c r="I45" s="23"/>
      <c r="J45" s="23"/>
      <c r="K45" s="18"/>
    </row>
    <row r="46" spans="2:11" x14ac:dyDescent="0.25">
      <c r="B46" s="19"/>
      <c r="C46" s="51"/>
      <c r="D46" s="54"/>
      <c r="E46" s="54"/>
      <c r="F46" s="54"/>
      <c r="G46" s="54"/>
      <c r="H46" s="54"/>
      <c r="I46" s="54"/>
      <c r="J46" s="54"/>
      <c r="K46" s="18"/>
    </row>
    <row r="47" spans="2:11" ht="15.75" thickBot="1" x14ac:dyDescent="0.3">
      <c r="B47" s="24" t="s">
        <v>30</v>
      </c>
      <c r="C47" s="25"/>
      <c r="D47" s="26"/>
      <c r="E47" s="26"/>
      <c r="F47" s="26"/>
      <c r="G47" s="27" t="s">
        <v>30</v>
      </c>
      <c r="H47" s="26"/>
      <c r="I47" s="26"/>
      <c r="J47" s="26"/>
      <c r="K47" s="28"/>
    </row>
    <row r="48" spans="2:11" x14ac:dyDescent="0.25">
      <c r="B48" s="12"/>
      <c r="C48" s="51"/>
      <c r="D48" s="54"/>
      <c r="E48" s="54"/>
      <c r="F48" s="54"/>
      <c r="G48" s="54"/>
      <c r="H48" s="54"/>
      <c r="I48" s="54"/>
      <c r="J48" s="54"/>
      <c r="K48" s="54"/>
    </row>
    <row r="49" spans="2:11" x14ac:dyDescent="0.25">
      <c r="B49" s="12"/>
      <c r="C49" s="51"/>
      <c r="D49" s="54"/>
      <c r="E49" s="54"/>
      <c r="F49" s="54"/>
      <c r="G49" s="54"/>
      <c r="H49" s="54"/>
      <c r="I49" s="54"/>
      <c r="J49" s="54"/>
      <c r="K49" s="54"/>
    </row>
    <row r="50" spans="2:11" x14ac:dyDescent="0.25">
      <c r="B50" s="12"/>
      <c r="C50" s="51"/>
      <c r="D50" s="54"/>
      <c r="E50" s="54"/>
      <c r="F50" s="54"/>
      <c r="G50" s="54"/>
      <c r="H50" s="54"/>
      <c r="I50" s="54"/>
      <c r="J50" s="54"/>
      <c r="K50" s="54"/>
    </row>
    <row r="51" spans="2:11" ht="15.75" thickBot="1" x14ac:dyDescent="0.3">
      <c r="B51" s="29"/>
      <c r="C51" s="30"/>
      <c r="D51" s="30"/>
      <c r="E51" s="30"/>
      <c r="F51" s="30"/>
      <c r="G51" s="30"/>
      <c r="H51" s="30"/>
      <c r="I51" s="30"/>
      <c r="J51" s="30"/>
      <c r="K51" s="30"/>
    </row>
    <row r="52" spans="2:11" x14ac:dyDescent="0.25">
      <c r="B52" s="112" t="s">
        <v>31</v>
      </c>
      <c r="C52" s="112"/>
      <c r="D52" s="112"/>
      <c r="E52" s="113" t="s">
        <v>32</v>
      </c>
      <c r="F52" s="113"/>
      <c r="G52" s="113"/>
      <c r="H52" s="113"/>
    </row>
    <row r="53" spans="2:11" x14ac:dyDescent="0.25">
      <c r="B53" s="114" t="s">
        <v>33</v>
      </c>
      <c r="C53" s="114"/>
      <c r="D53" s="114"/>
      <c r="E53" s="114" t="s">
        <v>34</v>
      </c>
      <c r="F53" s="114"/>
      <c r="G53" s="114"/>
      <c r="H53" s="114"/>
      <c r="I53" s="114" t="s">
        <v>35</v>
      </c>
      <c r="J53" s="114"/>
      <c r="K53" s="114"/>
    </row>
    <row r="54" spans="2:11" x14ac:dyDescent="0.25">
      <c r="B54" s="115" t="s">
        <v>36</v>
      </c>
      <c r="C54" s="115"/>
      <c r="D54" s="115"/>
      <c r="E54" s="115" t="s">
        <v>37</v>
      </c>
      <c r="F54" s="115"/>
      <c r="G54" s="115"/>
      <c r="H54" s="115"/>
      <c r="I54" s="115" t="s">
        <v>38</v>
      </c>
      <c r="J54" s="115"/>
      <c r="K54" s="115"/>
    </row>
    <row r="55" spans="2:11" x14ac:dyDescent="0.25">
      <c r="B55" s="115" t="s">
        <v>39</v>
      </c>
      <c r="C55" s="115"/>
      <c r="D55" s="115"/>
      <c r="E55" s="115" t="s">
        <v>40</v>
      </c>
      <c r="F55" s="115"/>
      <c r="G55" s="115"/>
      <c r="H55" s="115"/>
      <c r="I55" s="115" t="s">
        <v>41</v>
      </c>
      <c r="J55" s="115"/>
      <c r="K55" s="115"/>
    </row>
    <row r="56" spans="2:11" x14ac:dyDescent="0.25">
      <c r="B56" s="115" t="s">
        <v>42</v>
      </c>
      <c r="C56" s="115"/>
      <c r="D56" s="115"/>
      <c r="E56" s="115" t="s">
        <v>43</v>
      </c>
      <c r="F56" s="115"/>
      <c r="G56" s="115"/>
      <c r="H56" s="115"/>
      <c r="I56" s="115" t="s">
        <v>44</v>
      </c>
      <c r="J56" s="115"/>
      <c r="K56" s="115"/>
    </row>
    <row r="57" spans="2:11" x14ac:dyDescent="0.25">
      <c r="B57" s="12"/>
      <c r="C57" s="51"/>
      <c r="D57" s="54"/>
      <c r="E57" s="54"/>
      <c r="F57" s="54"/>
      <c r="G57" s="54"/>
      <c r="H57" s="54"/>
      <c r="I57" s="54"/>
      <c r="J57" s="54"/>
      <c r="K57" s="54"/>
    </row>
  </sheetData>
  <mergeCells count="62">
    <mergeCell ref="B56:D56"/>
    <mergeCell ref="E56:H56"/>
    <mergeCell ref="I56:K56"/>
    <mergeCell ref="B54:D54"/>
    <mergeCell ref="E54:H54"/>
    <mergeCell ref="I54:K54"/>
    <mergeCell ref="B55:D55"/>
    <mergeCell ref="E55:H55"/>
    <mergeCell ref="I55:K55"/>
    <mergeCell ref="B43:E43"/>
    <mergeCell ref="G43:K43"/>
    <mergeCell ref="B52:D52"/>
    <mergeCell ref="E52:H52"/>
    <mergeCell ref="B53:D53"/>
    <mergeCell ref="E53:H53"/>
    <mergeCell ref="I53:K53"/>
    <mergeCell ref="B34:C34"/>
    <mergeCell ref="D34:K34"/>
    <mergeCell ref="B35:C35"/>
    <mergeCell ref="D35:K35"/>
    <mergeCell ref="D38:K38"/>
    <mergeCell ref="D39:K39"/>
    <mergeCell ref="E30:F30"/>
    <mergeCell ref="G30:H30"/>
    <mergeCell ref="I30:J30"/>
    <mergeCell ref="E31:F31"/>
    <mergeCell ref="G31:K31"/>
    <mergeCell ref="C27:E27"/>
    <mergeCell ref="C28:E28"/>
    <mergeCell ref="C29:E29"/>
    <mergeCell ref="C21:K21"/>
    <mergeCell ref="C22:E22"/>
    <mergeCell ref="C23:E23"/>
    <mergeCell ref="C24:E24"/>
    <mergeCell ref="C25:E25"/>
    <mergeCell ref="C26:E26"/>
    <mergeCell ref="B17:K17"/>
    <mergeCell ref="B18:K18"/>
    <mergeCell ref="B19:B20"/>
    <mergeCell ref="C19:E20"/>
    <mergeCell ref="F19:F20"/>
    <mergeCell ref="G19:H19"/>
    <mergeCell ref="I19:J19"/>
    <mergeCell ref="K19:K20"/>
    <mergeCell ref="B13:C13"/>
    <mergeCell ref="D13:E13"/>
    <mergeCell ref="G13:K13"/>
    <mergeCell ref="B14:K14"/>
    <mergeCell ref="B15:K15"/>
    <mergeCell ref="B16:K16"/>
    <mergeCell ref="B10:E10"/>
    <mergeCell ref="G10:K10"/>
    <mergeCell ref="B11:E11"/>
    <mergeCell ref="B12:C12"/>
    <mergeCell ref="D12:E12"/>
    <mergeCell ref="G12:K12"/>
    <mergeCell ref="G2:K2"/>
    <mergeCell ref="G3:K3"/>
    <mergeCell ref="B8:E8"/>
    <mergeCell ref="G8:K8"/>
    <mergeCell ref="B9:E9"/>
    <mergeCell ref="G9:K9"/>
  </mergeCells>
  <hyperlinks>
    <hyperlink ref="E5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Acceso</vt:lpstr>
      <vt:lpstr>AP</vt:lpstr>
      <vt:lpstr>CCTV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 2</dc:creator>
  <cp:lastModifiedBy>Telecom11</cp:lastModifiedBy>
  <dcterms:created xsi:type="dcterms:W3CDTF">2015-07-03T17:34:50Z</dcterms:created>
  <dcterms:modified xsi:type="dcterms:W3CDTF">2015-09-10T20:53:40Z</dcterms:modified>
</cp:coreProperties>
</file>